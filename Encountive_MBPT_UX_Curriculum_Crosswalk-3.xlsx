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CurriculumMap" sheetId="2" state="visible" r:id="rId4"/>
    <sheet name="ActivityUX" sheetId="3" state="visible" r:id="rId5"/>
    <sheet name="Coverage" sheetId="4" state="visible" r:id="rId6"/>
    <sheet name="SessionFlow" sheetId="5" state="visible" r:id="rId7"/>
    <sheet name="MediaAsse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<sst xmlns="http://schemas.openxmlformats.org/spreadsheetml/2006/main" count="1413" uniqueCount="733">
  <si>
    <t xml:space="preserve">How this workbook is built</t>
  </si>
  <si>
    <t xml:space="preserve">WHAT EACH SHEET IS FOR</t>
  </si>
  <si>
    <t xml:space="preserve">ActivityUX    Every learner activity with its interaction design and the evidence it captures. This is the deliverable.</t>
  </si>
  <si>
    <t xml:space="preserve">CurriculumMap Module and lesson structure. Counts and durations compute from ActivityUX.</t>
  </si>
  <si>
    <t xml:space="preserve">Coverage      Checks that every objective in LO-MBPT-001 is both practised and scored. Flags holes automatically.</t>
  </si>
  <si>
    <t xml:space="preserve">SessionFlow   A forty five minute rotation with one shared AURA unit. The deployment model constrains the experience.</t>
  </si>
  <si>
    <t xml:space="preserve">THE FOUR ACTIVITY TYPES</t>
  </si>
  <si>
    <t xml:space="preserve">Present   Teaches. No performance demanded, no scoring. Used sparingly.</t>
  </si>
  <si>
    <t xml:space="preserve">Practice  Rehearses with immediate feedback. Scaffolds visible. Does not count toward mastery.</t>
  </si>
  <si>
    <t xml:space="preserve">Assess    Scores. Feedback is held until the end of the attempt. Only Unaided scaffold states count toward mastery.</t>
  </si>
  <si>
    <t xml:space="preserve">Reflect   Reviews across attempts. Never pass or fail. Owns the trend measures that a single attempt cannot show.</t>
  </si>
  <si>
    <t xml:space="preserve">THE SCAFFOLD LADDER</t>
  </si>
  <si>
    <t xml:space="preserve">Guided        The aid is present during the performance. Overlay visible, readout visible, pacer running.</t>
  </si>
  <si>
    <t xml:space="preserve">Confirmatory  The aid appears only after the learner commits. Teaches self checking rather than following.</t>
  </si>
  <si>
    <t xml:space="preserve">Sound only    Specific to auscultation. The gauge is occluded so the learner cannot substitute looking for listening.</t>
  </si>
  <si>
    <t xml:space="preserve">Unaided       Nothing. The only state that counts toward mastery, which is why attempt records must carry it.</t>
  </si>
  <si>
    <t xml:space="preserve">DESIGN RULES APPLIED THROUGHOUT</t>
  </si>
  <si>
    <t xml:space="preserve">1.  Feedback in Practice is immediate. Feedback in Assess is held until the attempt ends. Mixing them teaches learners to fish for hints.</t>
  </si>
  <si>
    <t xml:space="preserve">2.  A discrepancy is never resolved by revealing the answer. The learner is asked to try again. Revealing the answer removes the objective.</t>
  </si>
  <si>
    <t xml:space="preserve">3.  Every Assess activity has at least one Practice activity for the same objective before it. Coverage flags any that do not.</t>
  </si>
  <si>
    <t xml:space="preserve">4.  Input never requires a hand that is holding equipment. Voice and gesture only during a live measurement.</t>
  </si>
  <si>
    <t xml:space="preserve">5.  Spoken judgement responses record whether the learner was prompted. Unprompted is the mastery condition for Domain E.</t>
  </si>
  <si>
    <t xml:space="preserve">KNOWN GAPS, VISIBLE ON THE COVERAGE SHEET</t>
  </si>
  <si>
    <t xml:space="preserve">Five objectives are spring only because they depend on the four clinical cases that cannot clear a review board before fall.</t>
  </si>
  <si>
    <t xml:space="preserve">A7 hand hygiene is captured but remains self report on every surface and must never be reported as a measured competency.</t>
  </si>
  <si>
    <t xml:space="preserve">D1 stethoscope placement is tracked by hand joint proxy and cannot assess skin contact quality. Partial assessment, stated in the product.</t>
  </si>
  <si>
    <t xml:space="preserve">Curriculum map, module and lesson structure</t>
  </si>
  <si>
    <t xml:space="preserve">Counts and durations are computed from the ActivityUX sheet. Adding an activity there updates this automatically.</t>
  </si>
  <si>
    <t xml:space="preserve">Module</t>
  </si>
  <si>
    <t xml:space="preserve">Lesson</t>
  </si>
  <si>
    <t xml:space="preserve">Lesson title</t>
  </si>
  <si>
    <t xml:space="preserve">Activities</t>
  </si>
  <si>
    <t xml:space="preserve">Minutes</t>
  </si>
  <si>
    <t xml:space="preserve">Surface emphasis</t>
  </si>
  <si>
    <t xml:space="preserve">Domains carried</t>
  </si>
  <si>
    <t xml:space="preserve">Release</t>
  </si>
  <si>
    <t xml:space="preserve">M0</t>
  </si>
  <si>
    <t xml:space="preserve">L0.1</t>
  </si>
  <si>
    <t xml:space="preserve">Orientation, equipment and setup</t>
  </si>
  <si>
    <t xml:space="preserve">Both</t>
  </si>
  <si>
    <t xml:space="preserve">Setup, no objectives</t>
  </si>
  <si>
    <t xml:space="preserve">Fall</t>
  </si>
  <si>
    <t xml:space="preserve">M1</t>
  </si>
  <si>
    <t xml:space="preserve">L1.1</t>
  </si>
  <si>
    <t xml:space="preserve">The procedure and why order matters</t>
  </si>
  <si>
    <t xml:space="preserve">Either</t>
  </si>
  <si>
    <t xml:space="preserve">A, sequencing</t>
  </si>
  <si>
    <t xml:space="preserve">Spring</t>
  </si>
  <si>
    <t xml:space="preserve">L1.2</t>
  </si>
  <si>
    <t xml:space="preserve">Screening the limb</t>
  </si>
  <si>
    <t xml:space="preserve">A</t>
  </si>
  <si>
    <t xml:space="preserve">L1.3</t>
  </si>
  <si>
    <t xml:space="preserve">Positioning the patient</t>
  </si>
  <si>
    <t xml:space="preserve">Glasses</t>
  </si>
  <si>
    <t xml:space="preserve">L1.4</t>
  </si>
  <si>
    <t xml:space="preserve">Preparing the patient</t>
  </si>
  <si>
    <t xml:space="preserve">M2</t>
  </si>
  <si>
    <t xml:space="preserve">L2.1</t>
  </si>
  <si>
    <t xml:space="preserve">Measuring the arm</t>
  </si>
  <si>
    <t xml:space="preserve">B</t>
  </si>
  <si>
    <t xml:space="preserve">L2.2</t>
  </si>
  <si>
    <t xml:space="preserve">Selecting by measurement</t>
  </si>
  <si>
    <t xml:space="preserve">L2.3</t>
  </si>
  <si>
    <t xml:space="preserve">The consequence of mis-sizing</t>
  </si>
  <si>
    <t xml:space="preserve">L2.4</t>
  </si>
  <si>
    <t xml:space="preserve">Applying the cuff</t>
  </si>
  <si>
    <t xml:space="preserve">L2.5</t>
  </si>
  <si>
    <t xml:space="preserve">Hard cases and boundaries</t>
  </si>
  <si>
    <t xml:space="preserve">M3</t>
  </si>
  <si>
    <t xml:space="preserve">L3.1</t>
  </si>
  <si>
    <t xml:space="preserve">Palpated estimate and inflation</t>
  </si>
  <si>
    <t xml:space="preserve">Phone</t>
  </si>
  <si>
    <t xml:space="preserve">C</t>
  </si>
  <si>
    <t xml:space="preserve">L3.2</t>
  </si>
  <si>
    <t xml:space="preserve">Deflation rate control</t>
  </si>
  <si>
    <t xml:space="preserve">L3.3</t>
  </si>
  <si>
    <t xml:space="preserve">Hearing the phases and placing the bell</t>
  </si>
  <si>
    <t xml:space="preserve">Phone and glasses</t>
  </si>
  <si>
    <t xml:space="preserve">C, D</t>
  </si>
  <si>
    <t xml:space="preserve">L3.4</t>
  </si>
  <si>
    <t xml:space="preserve">Marking systolic and diastolic</t>
  </si>
  <si>
    <t xml:space="preserve">D</t>
  </si>
  <si>
    <t xml:space="preserve">L3.5</t>
  </si>
  <si>
    <t xml:space="preserve">Reading the dial precisely</t>
  </si>
  <si>
    <t xml:space="preserve">D, F</t>
  </si>
  <si>
    <t xml:space="preserve">L3.6</t>
  </si>
  <si>
    <t xml:space="preserve">Variation and pathology</t>
  </si>
  <si>
    <t xml:space="preserve">M4</t>
  </si>
  <si>
    <t xml:space="preserve">L4.1</t>
  </si>
  <si>
    <t xml:space="preserve">Classify and document</t>
  </si>
  <si>
    <t xml:space="preserve">E</t>
  </si>
  <si>
    <t xml:space="preserve">L4.2</t>
  </si>
  <si>
    <t xml:space="preserve">Escalation and scope of practice</t>
  </si>
  <si>
    <t xml:space="preserve">L4.3</t>
  </si>
  <si>
    <t xml:space="preserve">Reliability, repeat and averaging</t>
  </si>
  <si>
    <t xml:space="preserve">M5</t>
  </si>
  <si>
    <t xml:space="preserve">L5.1</t>
  </si>
  <si>
    <t xml:space="preserve">Attempt replay and error attribution</t>
  </si>
  <si>
    <t xml:space="preserve">F</t>
  </si>
  <si>
    <t xml:space="preserve">L5.2</t>
  </si>
  <si>
    <t xml:space="preserve">Technique or perception</t>
  </si>
  <si>
    <t xml:space="preserve">L5.3</t>
  </si>
  <si>
    <t xml:space="preserve">Planning the next practice</t>
  </si>
  <si>
    <t xml:space="preserve">TOTAL</t>
  </si>
  <si>
    <t xml:space="preserve">Cross check against ActivityUX total</t>
  </si>
  <si>
    <t xml:space="preserve">Activity level user experience and assessment crosswalk</t>
  </si>
  <si>
    <t xml:space="preserve">Every row is one learner activity. Type: Present teaches, Practice rehearses with feedback, Assess scores, Reflect reviews across attempts. Surface P is phone plus earbuds, G is AURA glasses. Only Unaided scaffold states count toward mastery.</t>
  </si>
  <si>
    <t xml:space="preserve">Activity ID</t>
  </si>
  <si>
    <t xml:space="preserve">Activity</t>
  </si>
  <si>
    <t xml:space="preserve">Type</t>
  </si>
  <si>
    <t xml:space="preserve">Min</t>
  </si>
  <si>
    <t xml:space="preserve">Surface</t>
  </si>
  <si>
    <t xml:space="preserve">Scaffold</t>
  </si>
  <si>
    <t xml:space="preserve">Objectives</t>
  </si>
  <si>
    <t xml:space="preserve">Entry state, what the learner sees</t>
  </si>
  <si>
    <t xml:space="preserve">Learner action</t>
  </si>
  <si>
    <t xml:space="preserve">Input</t>
  </si>
  <si>
    <t xml:space="preserve">System response</t>
  </si>
  <si>
    <t xml:space="preserve">Evidence captured</t>
  </si>
  <si>
    <t xml:space="preserve">Exit condition</t>
  </si>
  <si>
    <t xml:space="preserve">A-0.1.1</t>
  </si>
  <si>
    <t xml:space="preserve">Equipment check and gauge zero</t>
  </si>
  <si>
    <t xml:space="preserve">Present</t>
  </si>
  <si>
    <t xml:space="preserve">P</t>
  </si>
  <si>
    <t xml:space="preserve">n/a</t>
  </si>
  <si>
    <t xml:space="preserve">Split view: live camera on the dial, and a checklist of what must be true</t>
  </si>
  <si>
    <t xml:space="preserve">Hold the deflated cuff steady, confirm the needle rests at zero</t>
  </si>
  <si>
    <t xml:space="preserve">Physical, tap</t>
  </si>
  <si>
    <t xml:space="preserve">Green tick when the needle is read at zero; explanatory refusal if it is not</t>
  </si>
  <si>
    <t xml:space="preserve">equipment_check</t>
  </si>
  <si>
    <t xml:space="preserve">Needle read at zero, or gauge rejected</t>
  </si>
  <si>
    <t xml:space="preserve">A-0.1.2</t>
  </si>
  <si>
    <t xml:space="preserve">Audio and stethoscope fit check</t>
  </si>
  <si>
    <t xml:space="preserve">A calibration tone plus a sample Korotkoff beat</t>
  </si>
  <si>
    <t xml:space="preserve">Fit earpieces forward-facing, confirm the beat is audible</t>
  </si>
  <si>
    <t xml:space="preserve">Tap</t>
  </si>
  <si>
    <t xml:space="preserve">Confirms audibility; prompts refit if not confirmed</t>
  </si>
  <si>
    <t xml:space="preserve">audio_check</t>
  </si>
  <si>
    <t xml:space="preserve">Learner confirms audibility</t>
  </si>
  <si>
    <t xml:space="preserve">A-0.1.3</t>
  </si>
  <si>
    <t xml:space="preserve">Spatial setup and arm anchor</t>
  </si>
  <si>
    <t xml:space="preserve">G</t>
  </si>
  <si>
    <t xml:space="preserve">Prompt to look at the partner arm; depth mesh visualised briefly</t>
  </si>
  <si>
    <t xml:space="preserve">Look at the arm, pinch to place the anchor</t>
  </si>
  <si>
    <t xml:space="preserve">Gesture</t>
  </si>
  <si>
    <t xml:space="preserve">Anchor placed at the antecubital fossa; mesh visualisation fades</t>
  </si>
  <si>
    <t xml:space="preserve">spatial_anchor</t>
  </si>
  <si>
    <t xml:space="preserve">Anchor stable for 3 seconds</t>
  </si>
  <si>
    <t xml:space="preserve">A-1.1.1</t>
  </si>
  <si>
    <t xml:space="preserve">Guided walkthrough, all fourteen steps</t>
  </si>
  <si>
    <t xml:space="preserve">Guided</t>
  </si>
  <si>
    <t xml:space="preserve">A7</t>
  </si>
  <si>
    <t xml:space="preserve">One step at a time with a one line rationale beneath it</t>
  </si>
  <si>
    <t xml:space="preserve">Read, advance, no performance required</t>
  </si>
  <si>
    <t xml:space="preserve">Next step revealed; rationale expands on request</t>
  </si>
  <si>
    <t xml:space="preserve">steps_viewed</t>
  </si>
  <si>
    <t xml:space="preserve">All fourteen viewed</t>
  </si>
  <si>
    <t xml:space="preserve">A-1.1.2</t>
  </si>
  <si>
    <t xml:space="preserve">Build the sequence</t>
  </si>
  <si>
    <t xml:space="preserve">Practice</t>
  </si>
  <si>
    <t xml:space="preserve">Confirmatory</t>
  </si>
  <si>
    <t xml:space="preserve">Fourteen shuffled step cards and an empty ordered column</t>
  </si>
  <si>
    <t xml:space="preserve">Drag cards into a valid order</t>
  </si>
  <si>
    <t xml:space="preserve">Drag</t>
  </si>
  <si>
    <t xml:space="preserve">On submit, names the specific precedence rule violated, not just wrong</t>
  </si>
  <si>
    <t xml:space="preserve">step_order_observed</t>
  </si>
  <si>
    <t xml:space="preserve">Sequence score at or above 90</t>
  </si>
  <si>
    <t xml:space="preserve">A-1.1.3</t>
  </si>
  <si>
    <t xml:space="preserve">Spot the unsafe step</t>
  </si>
  <si>
    <t xml:space="preserve">Assess</t>
  </si>
  <si>
    <t xml:space="preserve">Unaided</t>
  </si>
  <si>
    <t xml:space="preserve">A1, A5</t>
  </si>
  <si>
    <t xml:space="preserve">A sequence with one planted out of order or unsafe step</t>
  </si>
  <si>
    <t xml:space="preserve">Identify the fault and state why</t>
  </si>
  <si>
    <t xml:space="preserve">Tap, voice</t>
  </si>
  <si>
    <t xml:space="preserve">Correct or incorrect, with the clinical consequence explained</t>
  </si>
  <si>
    <t xml:space="preserve">safety_gate_responses</t>
  </si>
  <si>
    <t xml:space="preserve">Correct on 3 of 4 scenarios</t>
  </si>
  <si>
    <t xml:space="preserve">A-1.2.1</t>
  </si>
  <si>
    <t xml:space="preserve">Screening six limbs</t>
  </si>
  <si>
    <t xml:space="preserve">A1</t>
  </si>
  <si>
    <t xml:space="preserve">Six patient cards, each with a limb history</t>
  </si>
  <si>
    <t xml:space="preserve">Decide proceed, use other arm, or escalate</t>
  </si>
  <si>
    <t xml:space="preserve">Immediate, with the contraindication named</t>
  </si>
  <si>
    <t xml:space="preserve">All six attempted</t>
  </si>
  <si>
    <t xml:space="preserve">A-1.2.2</t>
  </si>
  <si>
    <t xml:space="preserve">Screening, unaided</t>
  </si>
  <si>
    <t xml:space="preserve">Four new limbs, no prompts, no list of contraindications visible</t>
  </si>
  <si>
    <t xml:space="preserve">Same decision, unaided</t>
  </si>
  <si>
    <t xml:space="preserve">Held until the end of the set</t>
  </si>
  <si>
    <t xml:space="preserve">No error across four</t>
  </si>
  <si>
    <t xml:space="preserve">A-1.3.1</t>
  </si>
  <si>
    <t xml:space="preserve">Positioning faults, predict the error</t>
  </si>
  <si>
    <t xml:space="preserve">A3</t>
  </si>
  <si>
    <t xml:space="preserve">A patient shown in a faulted position, one fault at a time</t>
  </si>
  <si>
    <t xml:space="preserve">State the direction and rough size of the resulting error</t>
  </si>
  <si>
    <t xml:space="preserve">Voice, tap</t>
  </si>
  <si>
    <t xml:space="preserve">Reveals the published effect and compares it to the answer given</t>
  </si>
  <si>
    <t xml:space="preserve">interpretation_response</t>
  </si>
  <si>
    <t xml:space="preserve">Four faults attempted</t>
  </si>
  <si>
    <t xml:space="preserve">A-1.3.2</t>
  </si>
  <si>
    <t xml:space="preserve">Position a real partner, guided</t>
  </si>
  <si>
    <t xml:space="preserve">A2</t>
  </si>
  <si>
    <t xml:space="preserve">A heart level plane rendered across the partner torso, and a checklist of four conditions</t>
  </si>
  <si>
    <t xml:space="preserve">Seat and position the partner until all four are met</t>
  </si>
  <si>
    <t xml:space="preserve">Physical</t>
  </si>
  <si>
    <t xml:space="preserve">Each condition ticks live as it is satisfied; arm height shown against the plane</t>
  </si>
  <si>
    <t xml:space="preserve">vision_frames, depth</t>
  </si>
  <si>
    <t xml:space="preserve">All four conditions met</t>
  </si>
  <si>
    <t xml:space="preserve">A-1.3.3</t>
  </si>
  <si>
    <t xml:space="preserve">Position unaided, scored</t>
  </si>
  <si>
    <t xml:space="preserve">A2, A3</t>
  </si>
  <si>
    <t xml:space="preserve">No plane, no checklist. Only the partner.</t>
  </si>
  <si>
    <t xml:space="preserve">Position, then declare ready</t>
  </si>
  <si>
    <t xml:space="preserve">Voice</t>
  </si>
  <si>
    <t xml:space="preserve">Held. Geometric check runs silently at the declaration</t>
  </si>
  <si>
    <t xml:space="preserve">depth geometry</t>
  </si>
  <si>
    <t xml:space="preserve">All four met on 3 consecutive</t>
  </si>
  <si>
    <t xml:space="preserve">A-1.4.1</t>
  </si>
  <si>
    <t xml:space="preserve">Explain the procedure aloud</t>
  </si>
  <si>
    <t xml:space="preserve">A6</t>
  </si>
  <si>
    <t xml:space="preserve">A prompt card listing what a patient needs to be told</t>
  </si>
  <si>
    <t xml:space="preserve">Explain to the partner in the learner own words</t>
  </si>
  <si>
    <t xml:space="preserve">Detects that an explanation occurred and its rough completeness, does not grade wording</t>
  </si>
  <si>
    <t xml:space="preserve">spoken_responses</t>
  </si>
  <si>
    <t xml:space="preserve">Explanation detected before limb contact</t>
  </si>
  <si>
    <t xml:space="preserve">A-1.4.2</t>
  </si>
  <si>
    <t xml:space="preserve">Rest period and invalidating conditions</t>
  </si>
  <si>
    <t xml:space="preserve">A4, A5, A7</t>
  </si>
  <si>
    <t xml:space="preserve">A five minute timer, plus prompts about caffeine, nicotine, exercise, bladder, pain</t>
  </si>
  <si>
    <t xml:space="preserve">Run the rest period, ask the screening questions, log hand hygiene</t>
  </si>
  <si>
    <t xml:space="preserve">Timer enforces the full five minutes; screening answers recorded</t>
  </si>
  <si>
    <t xml:space="preserve">steps_completed, timer</t>
  </si>
  <si>
    <t xml:space="preserve">Timer complete and screening answered</t>
  </si>
  <si>
    <t xml:space="preserve">A-2.1.1</t>
  </si>
  <si>
    <t xml:space="preserve">Where to measure, demonstrated</t>
  </si>
  <si>
    <t xml:space="preserve">B1</t>
  </si>
  <si>
    <t xml:space="preserve">Acromion and olecranon highlighted on the real partner arm, midpoint marked</t>
  </si>
  <si>
    <t xml:space="preserve">Watch, then locate the two landmarks by pointing</t>
  </si>
  <si>
    <t xml:space="preserve">Confirms landmark identification</t>
  </si>
  <si>
    <t xml:space="preserve">landmarks_identified</t>
  </si>
  <si>
    <t xml:space="preserve">Both landmarks located</t>
  </si>
  <si>
    <t xml:space="preserve">A-2.1.2</t>
  </si>
  <si>
    <t xml:space="preserve">Measure with the overlay guide</t>
  </si>
  <si>
    <t xml:space="preserve">Midpoint plane rendered on the arm; tape guidance visible</t>
  </si>
  <si>
    <t xml:space="preserve">Measure with a real tape and speak the value</t>
  </si>
  <si>
    <t xml:space="preserve">Physical, voice</t>
  </si>
  <si>
    <t xml:space="preserve">Compares spoken value to the depth estimate; prompts a re-measure on discrepancy, never reveals the answer</t>
  </si>
  <si>
    <t xml:space="preserve">arm_circumference_entered_cm, depth_circumference_estimate_cm</t>
  </si>
  <si>
    <t xml:space="preserve">Agreement within 1.5 cm</t>
  </si>
  <si>
    <t xml:space="preserve">A-2.1.3</t>
  </si>
  <si>
    <t xml:space="preserve">Measure unaided</t>
  </si>
  <si>
    <t xml:space="preserve">No overlay. The arm only.</t>
  </si>
  <si>
    <t xml:space="preserve">Locate the midpoint and measure</t>
  </si>
  <si>
    <t xml:space="preserve">Held until the end of the attempt</t>
  </si>
  <si>
    <t xml:space="preserve">circumference_discrepancy_cm</t>
  </si>
  <si>
    <t xml:space="preserve">Within 1.5 cm on 3 consecutive</t>
  </si>
  <si>
    <t xml:space="preserve">A-2.2.1</t>
  </si>
  <si>
    <t xml:space="preserve">The size chart, explored</t>
  </si>
  <si>
    <t xml:space="preserve">B2, B6</t>
  </si>
  <si>
    <t xml:space="preserve">Interactive chart of circumference ranges against cuff categories</t>
  </si>
  <si>
    <t xml:space="preserve">Explore. Try circumferences and see which cuff results</t>
  </si>
  <si>
    <t xml:space="preserve">Shows the resulting category and the bladder ratio</t>
  </si>
  <si>
    <t xml:space="preserve">chart_explored</t>
  </si>
  <si>
    <t xml:space="preserve">Four categories explored</t>
  </si>
  <si>
    <t xml:space="preserve">A-2.2.2</t>
  </si>
  <si>
    <t xml:space="preserve">Select with the chart visible</t>
  </si>
  <si>
    <t xml:space="preserve">B2</t>
  </si>
  <si>
    <t xml:space="preserve">A measured circumference and the chart side by side</t>
  </si>
  <si>
    <t xml:space="preserve">Choose the cuff</t>
  </si>
  <si>
    <t xml:space="preserve">Immediate correct or incorrect with the ratio shown</t>
  </si>
  <si>
    <t xml:space="preserve">cuff_selected</t>
  </si>
  <si>
    <t xml:space="preserve">Six trials attempted</t>
  </si>
  <si>
    <t xml:space="preserve">A-2.2.3</t>
  </si>
  <si>
    <t xml:space="preserve">Select unaided, ten trials</t>
  </si>
  <si>
    <t xml:space="preserve">Circumference only. No chart.</t>
  </si>
  <si>
    <t xml:space="preserve">Held to the end of the set</t>
  </si>
  <si>
    <t xml:space="preserve">cuff_selected, habitus_form_detected</t>
  </si>
  <si>
    <t xml:space="preserve">No error across ten trials spanning four categories</t>
  </si>
  <si>
    <t xml:space="preserve">A-2.3.1</t>
  </si>
  <si>
    <t xml:space="preserve">Undersized cuff, see your own error</t>
  </si>
  <si>
    <t xml:space="preserve">B3</t>
  </si>
  <si>
    <t xml:space="preserve">The learner own prior selection, deliberately one size small</t>
  </si>
  <si>
    <t xml:space="preserve">Complete a measurement with the wrong cuff</t>
  </si>
  <si>
    <t xml:space="preserve">Shows the erroneous value beside the true value and names the direction</t>
  </si>
  <si>
    <t xml:space="preserve">marks, interpretation_response</t>
  </si>
  <si>
    <t xml:space="preserve">Both values seen</t>
  </si>
  <si>
    <t xml:space="preserve">A-2.3.2</t>
  </si>
  <si>
    <t xml:space="preserve">Oversized cuff, see your own error</t>
  </si>
  <si>
    <t xml:space="preserve">Same, one size large</t>
  </si>
  <si>
    <t xml:space="preserve">Same</t>
  </si>
  <si>
    <t xml:space="preserve">Same, opposite direction</t>
  </si>
  <si>
    <t xml:space="preserve">A-2.3.3</t>
  </si>
  <si>
    <t xml:space="preserve">Predict before revealing</t>
  </si>
  <si>
    <t xml:space="preserve">A stated mis-size and a patient</t>
  </si>
  <si>
    <t xml:space="preserve">State the direction and rough magnitude before any measurement</t>
  </si>
  <si>
    <t xml:space="preserve">Held until the prediction is given, then revealed</t>
  </si>
  <si>
    <t xml:space="preserve">Direction correct on 4 of 4</t>
  </si>
  <si>
    <t xml:space="preserve">A-2.4.1</t>
  </si>
  <si>
    <t xml:space="preserve">Placement zone, guided</t>
  </si>
  <si>
    <t xml:space="preserve">B4</t>
  </si>
  <si>
    <t xml:space="preserve">Fossa marker and the 2 to 3 cm band rendered on the real arm</t>
  </si>
  <si>
    <t xml:space="preserve">Apply the cuff inside the band, on bare skin</t>
  </si>
  <si>
    <t xml:space="preserve">Band turns green when the lower edge falls inside it; index line check prompted</t>
  </si>
  <si>
    <t xml:space="preserve">vision_frames, anchors</t>
  </si>
  <si>
    <t xml:space="preserve">Placement inside the band</t>
  </si>
  <si>
    <t xml:space="preserve">A-2.4.2</t>
  </si>
  <si>
    <t xml:space="preserve">Place, then confirm</t>
  </si>
  <si>
    <t xml:space="preserve">No overlay during placement</t>
  </si>
  <si>
    <t xml:space="preserve">Apply the cuff, then say ready</t>
  </si>
  <si>
    <t xml:space="preserve">Overlay appears only after the declaration, showing the result</t>
  </si>
  <si>
    <t xml:space="preserve">vision_frames</t>
  </si>
  <si>
    <t xml:space="preserve">Three placements attempted</t>
  </si>
  <si>
    <t xml:space="preserve">A-2.4.3</t>
  </si>
  <si>
    <t xml:space="preserve">Place unaided</t>
  </si>
  <si>
    <t xml:space="preserve">No overlay at any point</t>
  </si>
  <si>
    <t xml:space="preserve">Apply the cuff and verify the index line</t>
  </si>
  <si>
    <t xml:space="preserve">Held</t>
  </si>
  <si>
    <t xml:space="preserve">Correct on 3 consecutive</t>
  </si>
  <si>
    <t xml:space="preserve">A-2.5.1</t>
  </si>
  <si>
    <t xml:space="preserve">Boundary circumference, true scale comparison</t>
  </si>
  <si>
    <t xml:space="preserve">B5</t>
  </si>
  <si>
    <t xml:space="preserve">Two candidate cuffs rendered at true physical scale beside the real arm</t>
  </si>
  <si>
    <t xml:space="preserve">Compare, choose, and state the residual uncertainty</t>
  </si>
  <si>
    <t xml:space="preserve">Gesture, voice</t>
  </si>
  <si>
    <t xml:space="preserve">Shows the bladder ratio each choice produces and the expected error band</t>
  </si>
  <si>
    <t xml:space="preserve">cuff_selected, spoken_responses</t>
  </si>
  <si>
    <t xml:space="preserve">Choice made with a stated uncertainty</t>
  </si>
  <si>
    <t xml:space="preserve">A-2.5.2</t>
  </si>
  <si>
    <t xml:space="preserve">Conical arm, justify aloud</t>
  </si>
  <si>
    <t xml:space="preserve">A markedly tapered arm, no guidance</t>
  </si>
  <si>
    <t xml:space="preserve">Choose and justify the choice aloud</t>
  </si>
  <si>
    <t xml:space="preserve">Held. Justification graded against the expected reasoning set</t>
  </si>
  <si>
    <t xml:space="preserve">Justification names taper and residual uncertainty</t>
  </si>
  <si>
    <t xml:space="preserve">A-2.5.3</t>
  </si>
  <si>
    <t xml:space="preserve">No cuff fits</t>
  </si>
  <si>
    <t xml:space="preserve">B6</t>
  </si>
  <si>
    <t xml:space="preserve">A limb outside every available cuff range</t>
  </si>
  <si>
    <t xml:space="preserve">State the action rather than proceeding</t>
  </si>
  <si>
    <t xml:space="preserve">Correct action named or corrected</t>
  </si>
  <si>
    <t xml:space="preserve">Correct alternative stated</t>
  </si>
  <si>
    <t xml:space="preserve">A-3.1.1</t>
  </si>
  <si>
    <t xml:space="preserve">Palpated estimate, guided</t>
  </si>
  <si>
    <t xml:space="preserve">C1, E7</t>
  </si>
  <si>
    <t xml:space="preserve">Live pressure readout from the gauge reading pipeline</t>
  </si>
  <si>
    <t xml:space="preserve">Palpate the radial pulse, say mark when it disappears</t>
  </si>
  <si>
    <t xml:space="preserve">Records the pressure at the mark and compares it later to auscultated systolic</t>
  </si>
  <si>
    <t xml:space="preserve">pressure_trace, timed_hold</t>
  </si>
  <si>
    <t xml:space="preserve">Three estimates taken</t>
  </si>
  <si>
    <t xml:space="preserve">A-3.1.2</t>
  </si>
  <si>
    <t xml:space="preserve">Inflate to target, live feedback</t>
  </si>
  <si>
    <t xml:space="preserve">C2</t>
  </si>
  <si>
    <t xml:space="preserve">A target band rendered above the palpated estimate</t>
  </si>
  <si>
    <t xml:space="preserve">Inflate until inside the band</t>
  </si>
  <si>
    <t xml:space="preserve">Band turns green inside target; warns on gross overinflation</t>
  </si>
  <si>
    <t xml:space="preserve">pressure_trace.peak_mmhg</t>
  </si>
  <si>
    <t xml:space="preserve">Target reached without exceeding by 40</t>
  </si>
  <si>
    <t xml:space="preserve">A-3.1.3</t>
  </si>
  <si>
    <t xml:space="preserve">Palpate and inflate unaided</t>
  </si>
  <si>
    <t xml:space="preserve">C1, C2</t>
  </si>
  <si>
    <t xml:space="preserve">No readout, no target band</t>
  </si>
  <si>
    <t xml:space="preserve">Palpate, estimate, inflate</t>
  </si>
  <si>
    <t xml:space="preserve">pressure_trace</t>
  </si>
  <si>
    <t xml:space="preserve">Peak at or above estimate plus 30 on 3 consecutive</t>
  </si>
  <si>
    <t xml:space="preserve">A-3.2.1</t>
  </si>
  <si>
    <t xml:space="preserve">Rate pacer</t>
  </si>
  <si>
    <t xml:space="preserve">C3, C4</t>
  </si>
  <si>
    <t xml:space="preserve">A moving target marker descending at 2.5 mmHg per second beside the real needle</t>
  </si>
  <si>
    <t xml:space="preserve">Match the needle to the pacer</t>
  </si>
  <si>
    <t xml:space="preserve">Live deviation indicator, no words</t>
  </si>
  <si>
    <t xml:space="preserve">pressure_trace.mean_rate</t>
  </si>
  <si>
    <t xml:space="preserve">Within band for 80 percent of the descent</t>
  </si>
  <si>
    <t xml:space="preserve">A-3.2.2</t>
  </si>
  <si>
    <t xml:space="preserve">Rate feedback after the fact</t>
  </si>
  <si>
    <t xml:space="preserve">C3, C5, C6</t>
  </si>
  <si>
    <t xml:space="preserve">No pacer during the descent</t>
  </si>
  <si>
    <t xml:space="preserve">Deflate at what feels correct</t>
  </si>
  <si>
    <t xml:space="preserve">After the attempt, the rate curve is shown with excursions marked</t>
  </si>
  <si>
    <t xml:space="preserve">pressure_trace, rate_excursions</t>
  </si>
  <si>
    <t xml:space="preserve">Three attempts, self corrected</t>
  </si>
  <si>
    <t xml:space="preserve">A-3.2.3</t>
  </si>
  <si>
    <t xml:space="preserve">Rate unaided, no excursions</t>
  </si>
  <si>
    <t xml:space="preserve">C3, C5</t>
  </si>
  <si>
    <t xml:space="preserve">Nothing rendered</t>
  </si>
  <si>
    <t xml:space="preserve">Deflate, fully, once</t>
  </si>
  <si>
    <t xml:space="preserve">pressure_trace, reinflation_events</t>
  </si>
  <si>
    <t xml:space="preserve">In band with zero excursions on 3 consecutive</t>
  </si>
  <si>
    <t xml:space="preserve">A-3.2.4</t>
  </si>
  <si>
    <t xml:space="preserve">Why rate matters</t>
  </si>
  <si>
    <t xml:space="preserve">C4</t>
  </si>
  <si>
    <t xml:space="preserve">A prompt asking about underinflation and over rapid deflation</t>
  </si>
  <si>
    <t xml:space="preserve">Explain both consequences</t>
  </si>
  <si>
    <t xml:space="preserve">Graded against the expected reasoning set</t>
  </si>
  <si>
    <t xml:space="preserve">Both consequences and directions stated</t>
  </si>
  <si>
    <t xml:space="preserve">A-3.3.1</t>
  </si>
  <si>
    <t xml:space="preserve">Listen only, phases labelled</t>
  </si>
  <si>
    <t xml:space="preserve">D2, D3, D8</t>
  </si>
  <si>
    <t xml:space="preserve">A recorded case playing with phases labelled as they occur, no marking asked</t>
  </si>
  <si>
    <t xml:space="preserve">Listen. No performance</t>
  </si>
  <si>
    <t xml:space="preserve">None</t>
  </si>
  <si>
    <t xml:space="preserve">Labels appear in time with the sounds</t>
  </si>
  <si>
    <t xml:space="preserve">case_listened</t>
  </si>
  <si>
    <t xml:space="preserve">Two cases heard end to end</t>
  </si>
  <si>
    <t xml:space="preserve">A-3.3.2</t>
  </si>
  <si>
    <t xml:space="preserve">Stethoscope placement, tracked</t>
  </si>
  <si>
    <t xml:space="preserve">D1</t>
  </si>
  <si>
    <t xml:space="preserve">Brachial artery position marked on the real arm</t>
  </si>
  <si>
    <t xml:space="preserve">Place the chestpiece and hold</t>
  </si>
  <si>
    <t xml:space="preserve">Live proximity indicator; warns if above the cuff edge</t>
  </si>
  <si>
    <t xml:space="preserve">chestpiece_track</t>
  </si>
  <si>
    <t xml:space="preserve">Within tolerance for 10 seconds</t>
  </si>
  <si>
    <t xml:space="preserve">A-3.3.3</t>
  </si>
  <si>
    <t xml:space="preserve">Placement unaided</t>
  </si>
  <si>
    <t xml:space="preserve">No marker</t>
  </si>
  <si>
    <t xml:space="preserve">Place and hold</t>
  </si>
  <si>
    <t xml:space="preserve">Within tolerance on 3 consecutive</t>
  </si>
  <si>
    <t xml:space="preserve">A-3.4.1</t>
  </si>
  <si>
    <t xml:space="preserve">Mark with numeric readout</t>
  </si>
  <si>
    <t xml:space="preserve">D2, D3</t>
  </si>
  <si>
    <t xml:space="preserve">Live numeric pressure beside the real needle</t>
  </si>
  <si>
    <t xml:space="preserve">Say mark at first and last sound</t>
  </si>
  <si>
    <t xml:space="preserve">Immediate error in mmHg against ground truth</t>
  </si>
  <si>
    <t xml:space="preserve">marks</t>
  </si>
  <si>
    <t xml:space="preserve">Four attempts</t>
  </si>
  <si>
    <t xml:space="preserve">A-3.4.2</t>
  </si>
  <si>
    <t xml:space="preserve">Mark from the dial</t>
  </si>
  <si>
    <t xml:space="preserve">Real needle only, no numbers</t>
  </si>
  <si>
    <t xml:space="preserve">Say mark twice</t>
  </si>
  <si>
    <t xml:space="preserve">Error revealed after the attempt</t>
  </si>
  <si>
    <t xml:space="preserve">A-3.4.3</t>
  </si>
  <si>
    <t xml:space="preserve">Sound only, gauge occluded</t>
  </si>
  <si>
    <t xml:space="preserve">Sound only</t>
  </si>
  <si>
    <t xml:space="preserve">The gauge is occluded by dimming plus an opaque patch. Nothing to look at.</t>
  </si>
  <si>
    <t xml:space="preserve">Say mark on hearing the change</t>
  </si>
  <si>
    <t xml:space="preserve">Value revealed after each mark, with the error</t>
  </si>
  <si>
    <t xml:space="preserve">marks, scaffold_state</t>
  </si>
  <si>
    <t xml:space="preserve">Within 6 mmHg on 3 of 4</t>
  </si>
  <si>
    <t xml:space="preserve">A-3.4.4</t>
  </si>
  <si>
    <t xml:space="preserve">Full attempt unaided, scored</t>
  </si>
  <si>
    <t xml:space="preserve">A4, A6, A7, D2, D3, D6</t>
  </si>
  <si>
    <t xml:space="preserve">Nothing rendered. Real patient, real equipment, no aids of any kind.</t>
  </si>
  <si>
    <t xml:space="preserve">Perform the entire procedure end to end, from rest period to mark</t>
  </si>
  <si>
    <t xml:space="preserve">Held until the interpretation step</t>
  </si>
  <si>
    <t xml:space="preserve">Within 4 mmHg on 3 consecutive, two cases</t>
  </si>
  <si>
    <t xml:space="preserve">A-3.5.1</t>
  </si>
  <si>
    <t xml:space="preserve">Reading between graduations</t>
  </si>
  <si>
    <t xml:space="preserve">D6</t>
  </si>
  <si>
    <t xml:space="preserve">Still frames of a needle at values ending in 2, 4, 6 and 8</t>
  </si>
  <si>
    <t xml:space="preserve">Read each to the nearest 2 mmHg</t>
  </si>
  <si>
    <t xml:space="preserve">Immediate. Names rounding when it occurs</t>
  </si>
  <si>
    <t xml:space="preserve">Eight frames read</t>
  </si>
  <si>
    <t xml:space="preserve">A-3.5.2</t>
  </si>
  <si>
    <t xml:space="preserve">Rounding trend review</t>
  </si>
  <si>
    <t xml:space="preserve">Reflect</t>
  </si>
  <si>
    <t xml:space="preserve">D6, F1</t>
  </si>
  <si>
    <t xml:space="preserve">The learner own last ten values plotted by terminal digit</t>
  </si>
  <si>
    <t xml:space="preserve">Inspect, then state a corrective strategy</t>
  </si>
  <si>
    <t xml:space="preserve">Shows the distribution against chance; no pass or fail</t>
  </si>
  <si>
    <t xml:space="preserve">terminal_digit_bias</t>
  </si>
  <si>
    <t xml:space="preserve">Strategy stated</t>
  </si>
  <si>
    <t xml:space="preserve">A-3.6.1</t>
  </si>
  <si>
    <t xml:space="preserve">Auscultatory gap</t>
  </si>
  <si>
    <t xml:space="preserve">D4</t>
  </si>
  <si>
    <t xml:space="preserve">A case containing an authored gap, no warning given</t>
  </si>
  <si>
    <t xml:space="preserve">Measure normally</t>
  </si>
  <si>
    <t xml:space="preserve">If systolic was read below the gap, shows what happened and why</t>
  </si>
  <si>
    <t xml:space="preserve">Gap identified and explained</t>
  </si>
  <si>
    <t xml:space="preserve">A-3.6.2</t>
  </si>
  <si>
    <t xml:space="preserve">Phase four discrimination</t>
  </si>
  <si>
    <t xml:space="preserve">D5</t>
  </si>
  <si>
    <t xml:space="preserve">A case with a clear muffling point, phase four and five both labelled</t>
  </si>
  <si>
    <t xml:space="preserve">Mark both, and state when phase four is recorded</t>
  </si>
  <si>
    <t xml:space="preserve">Immediate, with the populations named</t>
  </si>
  <si>
    <t xml:space="preserve">Both marked, populations stated</t>
  </si>
  <si>
    <t xml:space="preserve">A-3.6.3</t>
  </si>
  <si>
    <t xml:space="preserve">Irregular rhythm</t>
  </si>
  <si>
    <t xml:space="preserve">D7</t>
  </si>
  <si>
    <t xml:space="preserve">An atrial fibrillation case, no warning given</t>
  </si>
  <si>
    <t xml:space="preserve">Asks what the learner noticed before explaining anything</t>
  </si>
  <si>
    <t xml:space="preserve">Irregularity recognised unprompted</t>
  </si>
  <si>
    <t xml:space="preserve">A-3.6.4</t>
  </si>
  <si>
    <t xml:space="preserve">Inaudible sounds</t>
  </si>
  <si>
    <t xml:space="preserve">D8</t>
  </si>
  <si>
    <t xml:space="preserve">A case where sounds are faint and ambiguous</t>
  </si>
  <si>
    <t xml:space="preserve">State the corrective actions available</t>
  </si>
  <si>
    <t xml:space="preserve">Graded against the expected action set</t>
  </si>
  <si>
    <t xml:space="preserve">Three corrections named</t>
  </si>
  <si>
    <t xml:space="preserve">A-3.6.5</t>
  </si>
  <si>
    <t xml:space="preserve">Variation unaided, scored</t>
  </si>
  <si>
    <t xml:space="preserve">D4, D5, D7</t>
  </si>
  <si>
    <t xml:space="preserve">A randomised case drawn from the pathology set, with no indication of which</t>
  </si>
  <si>
    <t xml:space="preserve">Measure and report what was heard</t>
  </si>
  <si>
    <t xml:space="preserve">Held. Scores the marks and whether the abnormality was named unprompted</t>
  </si>
  <si>
    <t xml:space="preserve">marks, spoken_responses</t>
  </si>
  <si>
    <t xml:space="preserve">Abnormality named unprompted on 3 of 4</t>
  </si>
  <si>
    <t xml:space="preserve">A-4.1.1</t>
  </si>
  <si>
    <t xml:space="preserve">Classify aloud</t>
  </si>
  <si>
    <t xml:space="preserve">E1, E4, E6</t>
  </si>
  <si>
    <t xml:space="preserve">The value just obtained, category thresholds visible</t>
  </si>
  <si>
    <t xml:space="preserve">State the classification</t>
  </si>
  <si>
    <t xml:space="preserve">Immediate</t>
  </si>
  <si>
    <t xml:space="preserve">Six values classified</t>
  </si>
  <si>
    <t xml:space="preserve">A-4.1.2</t>
  </si>
  <si>
    <t xml:space="preserve">Classify and document, unaided</t>
  </si>
  <si>
    <t xml:space="preserve">E1, E2, E6</t>
  </si>
  <si>
    <t xml:space="preserve">No template visible</t>
  </si>
  <si>
    <t xml:space="preserve">Dictate the documentation</t>
  </si>
  <si>
    <t xml:space="preserve">Held. Checks arm, position, cuff size, time</t>
  </si>
  <si>
    <t xml:space="preserve">All four elements, unprompted, 3 consecutive</t>
  </si>
  <si>
    <t xml:space="preserve">A-4.2.1</t>
  </si>
  <si>
    <t xml:space="preserve">Crisis value, unprompted escalation</t>
  </si>
  <si>
    <t xml:space="preserve">E4</t>
  </si>
  <si>
    <t xml:space="preserve">A measurement resolving into the crisis range. No prompt of any kind.</t>
  </si>
  <si>
    <t xml:space="preserve">State the action, the recipient, and the urgency</t>
  </si>
  <si>
    <t xml:space="preserve">Held. The prompted flag records whether the learner needed asking</t>
  </si>
  <si>
    <t xml:space="preserve">spoken_responses.prompted</t>
  </si>
  <si>
    <t xml:space="preserve">Escalation stated unprompted, in scope</t>
  </si>
  <si>
    <t xml:space="preserve">A-4.2.2</t>
  </si>
  <si>
    <t xml:space="preserve">Hypotension and presentation</t>
  </si>
  <si>
    <t xml:space="preserve">E5</t>
  </si>
  <si>
    <t xml:space="preserve">A hypotensive case with a brief patient presentation</t>
  </si>
  <si>
    <t xml:space="preserve">Relate value to presentation and state the action</t>
  </si>
  <si>
    <t xml:space="preserve">Action correct and linked to presentation</t>
  </si>
  <si>
    <t xml:space="preserve">A-4.3.1</t>
  </si>
  <si>
    <t xml:space="preserve">One reading is not a diagnosis</t>
  </si>
  <si>
    <t xml:space="preserve">E2, E8</t>
  </si>
  <si>
    <t xml:space="preserve">A single elevated value and an invitation to conclude</t>
  </si>
  <si>
    <t xml:space="preserve">State what can and cannot be concluded</t>
  </si>
  <si>
    <t xml:space="preserve">Repeat requirement stated</t>
  </si>
  <si>
    <t xml:space="preserve">A-4.3.2</t>
  </si>
  <si>
    <t xml:space="preserve">Repeat and average in irregular rhythm</t>
  </si>
  <si>
    <t xml:space="preserve">E3</t>
  </si>
  <si>
    <t xml:space="preserve">The arrhythmia case, after measurement</t>
  </si>
  <si>
    <t xml:space="preserve">Take further readings, average, justify</t>
  </si>
  <si>
    <t xml:space="preserve">Averaging performed and justified</t>
  </si>
  <si>
    <t xml:space="preserve">A-4.3.3</t>
  </si>
  <si>
    <t xml:space="preserve">Implausible reading</t>
  </si>
  <si>
    <t xml:space="preserve">E7</t>
  </si>
  <si>
    <t xml:space="preserve">A measurement inconsistent with the palpated estimate</t>
  </si>
  <si>
    <t xml:space="preserve">Recognise and repeat rather than record</t>
  </si>
  <si>
    <t xml:space="preserve">marks, pressure_trace, spoken_responses</t>
  </si>
  <si>
    <t xml:space="preserve">Repeat chosen unprompted</t>
  </si>
  <si>
    <t xml:space="preserve">A-4.3.4</t>
  </si>
  <si>
    <t xml:space="preserve">Difference from a prior value</t>
  </si>
  <si>
    <t xml:space="preserve">E8</t>
  </si>
  <si>
    <t xml:space="preserve">A documented prior reading materially different from todays</t>
  </si>
  <si>
    <t xml:space="preserve">State the action</t>
  </si>
  <si>
    <t xml:space="preserve">Correct action stated</t>
  </si>
  <si>
    <t xml:space="preserve">A-5.1.1</t>
  </si>
  <si>
    <t xml:space="preserve">Spatial replay</t>
  </si>
  <si>
    <t xml:space="preserve">F2, F4</t>
  </si>
  <si>
    <t xml:space="preserve">The attempt replayed anchored in place: pressure curve beside the cuff, marks against truth, chestpiece path on the arm</t>
  </si>
  <si>
    <t xml:space="preserve">Walk around it. Inspect.</t>
  </si>
  <si>
    <t xml:space="preserve">No grading. Presentation only</t>
  </si>
  <si>
    <t xml:space="preserve">replay_viewed</t>
  </si>
  <si>
    <t xml:space="preserve">Replay viewed end to end</t>
  </si>
  <si>
    <t xml:space="preserve">A-5.1.2</t>
  </si>
  <si>
    <t xml:space="preserve">Attribute the error</t>
  </si>
  <si>
    <t xml:space="preserve">C6, F2</t>
  </si>
  <si>
    <t xml:space="preserve">The same replay, with the discrepancy highlighted but unexplained</t>
  </si>
  <si>
    <t xml:space="preserve">Name the step that produced it</t>
  </si>
  <si>
    <t xml:space="preserve">Confirms or corrects, with the causal chain shown</t>
  </si>
  <si>
    <t xml:space="preserve">Correct attribution on 3 of 4</t>
  </si>
  <si>
    <t xml:space="preserve">A-5.2.1</t>
  </si>
  <si>
    <t xml:space="preserve">F4</t>
  </si>
  <si>
    <t xml:space="preserve">Two failed attempts, one technique driven and one perceptual</t>
  </si>
  <si>
    <t xml:space="preserve">Classify each</t>
  </si>
  <si>
    <t xml:space="preserve">Confirms or corrects</t>
  </si>
  <si>
    <t xml:space="preserve">Both classified correctly</t>
  </si>
  <si>
    <t xml:space="preserve">A-5.3.1</t>
  </si>
  <si>
    <t xml:space="preserve">Choose the next practice</t>
  </si>
  <si>
    <t xml:space="preserve">F3</t>
  </si>
  <si>
    <t xml:space="preserve">The learner own mastery flags across all six domains</t>
  </si>
  <si>
    <t xml:space="preserve">Choose the next activity and justify</t>
  </si>
  <si>
    <t xml:space="preserve">Records the choice. Does not override it</t>
  </si>
  <si>
    <t xml:space="preserve">learner_selection</t>
  </si>
  <si>
    <t xml:space="preserve">Choice made with a justification</t>
  </si>
  <si>
    <t xml:space="preserve">TOTAL ACTIVITIES</t>
  </si>
  <si>
    <t xml:space="preserve">minutes</t>
  </si>
  <si>
    <t xml:space="preserve">Fall release minutes</t>
  </si>
  <si>
    <t xml:space="preserve">Spring release minutes</t>
  </si>
  <si>
    <t xml:space="preserve">Objective coverage check</t>
  </si>
  <si>
    <t xml:space="preserve">Every objective in LO-MBPT-001 must be taught by at least one Practice activity and scored by at least one Assess activity. Anything flagged below is a hole in the design, not a rounding issue.</t>
  </si>
  <si>
    <t xml:space="preserve">Objective</t>
  </si>
  <si>
    <t xml:space="preserve">Domain</t>
  </si>
  <si>
    <t xml:space="preserve">Total activities</t>
  </si>
  <si>
    <t xml:space="preserve">Practice or Present</t>
  </si>
  <si>
    <t xml:space="preserve">Fall available</t>
  </si>
  <si>
    <t xml:space="preserve">Status</t>
  </si>
  <si>
    <t xml:space="preserve">A4</t>
  </si>
  <si>
    <t xml:space="preserve">A5</t>
  </si>
  <si>
    <t xml:space="preserve">C1</t>
  </si>
  <si>
    <t xml:space="preserve">C3</t>
  </si>
  <si>
    <t xml:space="preserve">C5</t>
  </si>
  <si>
    <t xml:space="preserve">C6</t>
  </si>
  <si>
    <t xml:space="preserve">D2</t>
  </si>
  <si>
    <t xml:space="preserve">D3</t>
  </si>
  <si>
    <t xml:space="preserve">E1</t>
  </si>
  <si>
    <t xml:space="preserve">E2</t>
  </si>
  <si>
    <t xml:space="preserve">E6</t>
  </si>
  <si>
    <t xml:space="preserve">F1</t>
  </si>
  <si>
    <t xml:space="preserve">F2</t>
  </si>
  <si>
    <t xml:space="preserve">Objectives not covered at all</t>
  </si>
  <si>
    <t xml:space="preserve">Objectives taught but never scored</t>
  </si>
  <si>
    <t xml:space="preserve">Objectives scored without any practice first</t>
  </si>
  <si>
    <t xml:space="preserve">Objectives unavailable until spring</t>
  </si>
  <si>
    <t xml:space="preserve">Objectives fully served in the fall release</t>
  </si>
  <si>
    <t xml:space="preserve">Session flow, a forty five minute skills laboratory rotation</t>
  </si>
  <si>
    <t xml:space="preserve">One shared AURA unit rotating across four learners while the others practise on phones. This is the deployment model that makes the glasses affordable, and it constrains the user experience, so it is designed here.</t>
  </si>
  <si>
    <t xml:space="preserve">Minute</t>
  </si>
  <si>
    <t xml:space="preserve">Learner 1</t>
  </si>
  <si>
    <t xml:space="preserve">Learner 2, 3, 4</t>
  </si>
  <si>
    <t xml:space="preserve">Partner role</t>
  </si>
  <si>
    <t xml:space="preserve">Device in use</t>
  </si>
  <si>
    <t xml:space="preserve">Design note</t>
  </si>
  <si>
    <t xml:space="preserve">0 to 5</t>
  </si>
  <si>
    <t xml:space="preserve">Orientation and equipment check</t>
  </si>
  <si>
    <t xml:space="preserve">Same, on their own phones</t>
  </si>
  <si>
    <t xml:space="preserve">Observes</t>
  </si>
  <si>
    <t xml:space="preserve">Everyone starts together. Gauge zero check doubles as an equipment safety habit.</t>
  </si>
  <si>
    <t xml:space="preserve">5 to 15</t>
  </si>
  <si>
    <t xml:space="preserve">Phone practice, deflation rate and marking</t>
  </si>
  <si>
    <t xml:space="preserve">Holds the phone, calls out nothing</t>
  </si>
  <si>
    <t xml:space="preserve">The partner holding the phone becomes an observer with a defined role rather than a passive arm.</t>
  </si>
  <si>
    <t xml:space="preserve">15 to 25</t>
  </si>
  <si>
    <t xml:space="preserve">AURA checkpoint: measure, select, apply, place</t>
  </si>
  <si>
    <t xml:space="preserve">Continue phone practice</t>
  </si>
  <si>
    <t xml:space="preserve">Presents the arm</t>
  </si>
  <si>
    <t xml:space="preserve">The glasses carry the scored spatial checkpoint. Ten minutes is enough for B1, B2, B4 and D1.</t>
  </si>
  <si>
    <t xml:space="preserve">25 to 33</t>
  </si>
  <si>
    <t xml:space="preserve">AURA checkpoint: interpret and act</t>
  </si>
  <si>
    <t xml:space="preserve">Presents the arm and a brief history</t>
  </si>
  <si>
    <t xml:space="preserve">Domain E spoken, hands on the equipment. This is the block that has never had a home before.</t>
  </si>
  <si>
    <t xml:space="preserve">33 to 40</t>
  </si>
  <si>
    <t xml:space="preserve">AURA debrief: spatial replay and attribution</t>
  </si>
  <si>
    <t xml:space="preserve">Observes the replay alongside</t>
  </si>
  <si>
    <t xml:space="preserve">The partner watching the replay is a second learner getting most of the benefit for free.</t>
  </si>
  <si>
    <t xml:space="preserve">40 to 45</t>
  </si>
  <si>
    <t xml:space="preserve">Handover, next practice chosen</t>
  </si>
  <si>
    <t xml:space="preserve">Learner 2 takes the glasses</t>
  </si>
  <si>
    <t xml:space="preserve">Rotates</t>
  </si>
  <si>
    <t xml:space="preserve">Handover is a designed step, not an interruption. The spatial anchor must survive a wearer change.</t>
  </si>
  <si>
    <t xml:space="preserve">WHAT THIS FLOW ASSUMES</t>
  </si>
  <si>
    <t xml:space="preserve">One AURA unit serves four learners in a forty five minute rotation, because nineteen of its objectives are checkpoint and debrief objectives rather than practice objectives.</t>
  </si>
  <si>
    <t xml:space="preserve">Practice happens on phones the learners already own. The glasses are where scored assessment and debrief happen.</t>
  </si>
  <si>
    <t xml:space="preserve">Handover must be under sixty seconds including anchor re-establishment, or the rotation collapses. This is validation item V-5.</t>
  </si>
  <si>
    <t xml:space="preserve">The partner is never idle. Holding the phone, presenting the arm, and watching the replay are all designed roles.</t>
  </si>
  <si>
    <t xml:space="preserve">Class A clinical case production tracker</t>
  </si>
  <si>
    <t xml:space="preserve">One row per case. Status drives the Blocked column, which tells you exactly which activities cannot ship. Yellow cells are inputs; update Status as production progresses.</t>
  </si>
  <si>
    <t xml:space="preserve">Case ID</t>
  </si>
  <si>
    <t xml:space="preserve">Condition</t>
  </si>
  <si>
    <t xml:space="preserve">Priority</t>
  </si>
  <si>
    <t xml:space="preserve">Unlocks objectives</t>
  </si>
  <si>
    <t xml:space="preserve">Blocked activities</t>
  </si>
  <si>
    <t xml:space="preserve">Recruitment</t>
  </si>
  <si>
    <t xml:space="preserve">Consent ref</t>
  </si>
  <si>
    <t xml:space="preserve">Raters agreed</t>
  </si>
  <si>
    <t xml:space="preserve">Accepted</t>
  </si>
  <si>
    <t xml:space="preserve">C001</t>
  </si>
  <si>
    <t xml:space="preserve">Normotensive adult</t>
  </si>
  <si>
    <t xml:space="preserve">Have</t>
  </si>
  <si>
    <t xml:space="preserve">Complete</t>
  </si>
  <si>
    <t xml:space="preserve">on file</t>
  </si>
  <si>
    <t xml:space="preserve">yes</t>
  </si>
  <si>
    <t xml:space="preserve">Y</t>
  </si>
  <si>
    <t xml:space="preserve">C002</t>
  </si>
  <si>
    <t xml:space="preserve">Stage two hypertension</t>
  </si>
  <si>
    <t xml:space="preserve">D2, D3, E1</t>
  </si>
  <si>
    <t xml:space="preserve">C003</t>
  </si>
  <si>
    <t xml:space="preserve">Normotensive, second subject</t>
  </si>
  <si>
    <t xml:space="preserve">C004</t>
  </si>
  <si>
    <t xml:space="preserve">Existing case 4</t>
  </si>
  <si>
    <t xml:space="preserve">C005</t>
  </si>
  <si>
    <t xml:space="preserve">Existing case 5</t>
  </si>
  <si>
    <t xml:space="preserve">C006</t>
  </si>
  <si>
    <t xml:space="preserve">Existing case 6</t>
  </si>
  <si>
    <t xml:space="preserve">C007</t>
  </si>
  <si>
    <t xml:space="preserve">Existing case 7</t>
  </si>
  <si>
    <t xml:space="preserve">C008</t>
  </si>
  <si>
    <t xml:space="preserve">Existing case 8</t>
  </si>
  <si>
    <t xml:space="preserve">C009</t>
  </si>
  <si>
    <t xml:space="preserve">Existing case 9</t>
  </si>
  <si>
    <t xml:space="preserve">C010</t>
  </si>
  <si>
    <t xml:space="preserve">Existing case 10</t>
  </si>
  <si>
    <t xml:space="preserve">C011</t>
  </si>
  <si>
    <t xml:space="preserve">Atrial fibrillation, rate controlled</t>
  </si>
  <si>
    <t xml:space="preserve">1</t>
  </si>
  <si>
    <t xml:space="preserve">D7, E3</t>
  </si>
  <si>
    <t xml:space="preserve">A-3.6.3, A-3.6.5, A-4.3.2</t>
  </si>
  <si>
    <t xml:space="preserve">Community volunteer, over 70</t>
  </si>
  <si>
    <t xml:space="preserve">Not started</t>
  </si>
  <si>
    <t xml:space="preserve">N</t>
  </si>
  <si>
    <t xml:space="preserve">C012</t>
  </si>
  <si>
    <t xml:space="preserve">2</t>
  </si>
  <si>
    <t xml:space="preserve">A-3.6.1, A-3.6.5</t>
  </si>
  <si>
    <t xml:space="preserve">Screen candidates, cannot recruit by diagnosis</t>
  </si>
  <si>
    <t xml:space="preserve">C013</t>
  </si>
  <si>
    <t xml:space="preserve">Hypotension, orthostatic</t>
  </si>
  <si>
    <t xml:space="preserve">3</t>
  </si>
  <si>
    <t xml:space="preserve">Community volunteer</t>
  </si>
  <si>
    <t xml:space="preserve">C014</t>
  </si>
  <si>
    <t xml:space="preserve">Phase four muffling</t>
  </si>
  <si>
    <t xml:space="preserve">4</t>
  </si>
  <si>
    <t xml:space="preserve">A-3.6.2, A-3.6.5</t>
  </si>
  <si>
    <t xml:space="preserve">Pregnancy or high output state</t>
  </si>
  <si>
    <t xml:space="preserve">C015</t>
  </si>
  <si>
    <t xml:space="preserve">Large arm, large adult cuff</t>
  </si>
  <si>
    <t xml:space="preserve">5</t>
  </si>
  <si>
    <t xml:space="preserve">B2 reinforcement</t>
  </si>
  <si>
    <t xml:space="preserve">Easy</t>
  </si>
  <si>
    <t xml:space="preserve">C016</t>
  </si>
  <si>
    <t xml:space="preserve">Wide pulse pressure, elderly</t>
  </si>
  <si>
    <t xml:space="preserve">6</t>
  </si>
  <si>
    <t xml:space="preserve">Case variety</t>
  </si>
  <si>
    <t xml:space="preserve">C017</t>
  </si>
  <si>
    <t xml:space="preserve">Paediatric, school age</t>
  </si>
  <si>
    <t xml:space="preserve">7</t>
  </si>
  <si>
    <t xml:space="preserve">Paediatric variation</t>
  </si>
  <si>
    <t xml:space="preserve">Parental permission plus child assent. Longest lead time.</t>
  </si>
  <si>
    <t xml:space="preserve">Deferred</t>
  </si>
  <si>
    <t xml:space="preserve">Cases accepted</t>
  </si>
  <si>
    <t xml:space="preserve">Cases outstanding for full objective coverage</t>
  </si>
  <si>
    <t xml:space="preserve">Activities blocked by missing cases</t>
  </si>
  <si>
    <t xml:space="preserve">Counted with duplicates; A-3.6.5 appears against three cases.</t>
  </si>
  <si>
    <t xml:space="preserve">PRODUCTION PIPELINE STAGES</t>
  </si>
  <si>
    <t xml:space="preserve">P1  Rig built, capture protocol frozen, take log and consent form drafted.</t>
  </si>
  <si>
    <t xml:space="preserve">P2  Pilot capture with two colleagues, taken end to end through to an accepted case.</t>
  </si>
  <si>
    <t xml:space="preserve">P3  Site permission, consent approval, not human subjects research determination. Starts day one, runs in parallel.</t>
  </si>
  <si>
    <t xml:space="preserve">P4  Capture sessions. Six subjects per day, forty five minutes each.</t>
  </si>
  <si>
    <t xml:space="preserve">P5  Post production: sync against the slate, trim, verify no exposure drift.</t>
  </si>
  <si>
    <t xml:space="preserve">P6  Annotation: needle read, beat onsets tagged with pressure, rhythm intervals extracted.</t>
  </si>
  <si>
    <t xml:space="preserve">P7  Ground truth: three raters. Disagreement beyond 4 mmHg rejects the case rather than averaging it.</t>
  </si>
  <si>
    <t xml:space="preserve">P8  Acceptance and packaging with the capture protocol block.</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</si>
</sst>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b val="true"/>
      <sz val="11"/>
      <name val="Arial"/>
      <family val="0"/>
      <charset val="1"/>
    </font>
    <font>
      <sz val="9"/>
      <name val="Arial"/>
      <family val="0"/>
      <charset val="1"/>
    </font>
    <font>
      <i val="true"/>
      <sz val="9"/>
      <color rgb="FF595959"/>
      <name val="Arial"/>
      <family val="0"/>
      <charset val="1"/>
    </font>
    <font>
      <b val="true"/>
      <sz val="8.5"/>
      <color rgb="FFFFFFFF"/>
      <name val="Arial"/>
      <family val="0"/>
      <charset val="1"/>
    </font>
    <font>
      <b val="true"/>
      <sz val="9"/>
      <name val="Arial"/>
      <family val="0"/>
      <charset val="1"/>
    </font>
    <font>
      <sz val="9"/>
      <color rgb="FF008000"/>
      <name val="Arial"/>
      <family val="0"/>
      <charset val="1"/>
    </font>
    <font>
      <sz val="9"/>
      <color rgb="FF0000FF"/>
      <name val="Arial"/>
      <family val="0"/>
      <charset val="1"/>
    </font>
  </fonts>
  <fills count="9">
    <fill>
      <patternFill patternType="none"/>
    </fill>
    <fill>
      <patternFill patternType="gray125"/>
    </fill>
    <fill>
      <patternFill patternType="solid">
        <fgColor rgb="FFDCE6F1"/>
        <bgColor rgb="FFEDE7F6"/>
      </patternFill>
    </fill>
    <fill>
      <patternFill patternType="solid">
        <fgColor rgb="FF1F3864"/>
        <bgColor rgb="FF333333"/>
      </patternFill>
    </fill>
    <fill>
      <patternFill patternType="solid">
        <fgColor rgb="FFF2F2F2"/>
        <bgColor rgb="FFE7F1F8"/>
      </patternFill>
    </fill>
    <fill>
      <patternFill patternType="solid">
        <fgColor rgb="FFE7F1F8"/>
        <bgColor rgb="FFF2F2F2"/>
      </patternFill>
    </fill>
    <fill>
      <patternFill patternType="solid">
        <fgColor rgb="FFEDE7F6"/>
        <bgColor rgb="FFE7F1F8"/>
      </patternFill>
    </fill>
    <fill>
      <patternFill patternType="solid">
        <fgColor rgb="FFE2EFDA"/>
        <bgColor rgb="FFE7F1F8"/>
      </patternFill>
    </fill>
    <fill>
      <patternFill patternType="solid">
        <fgColor rgb="FFFCE4D6"/>
        <bgColor rgb="FFEDE7F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9" fillId="4" borderId="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9" fillId="7"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general" vertical="top" textRotation="0" wrapText="false" indent="0" shrinkToFit="false"/>
      <protection locked="true" hidden="false"/>
    </xf>
    <xf numFmtId="164" fontId="11" fillId="8" borderId="1" xfId="0" applyFont="tru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7F1F8"/>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DCE6F1"/>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2"/>
  </cols>
  <sheetData>
    <row r="1" customFormat="false" ht="18.55" hidden="false" customHeight="false" outlineLevel="0" collapsed="false">
      <c r="A1" s="1" t="s">
        <v>0</v>
      </c>
    </row>
    <row r="3" customFormat="false" ht="15" hidden="false" customHeight="false" outlineLevel="0" collapsed="false">
      <c r="B3" s="2" t="s">
        <v>1</v>
      </c>
    </row>
    <row r="4" customFormat="false" ht="15" hidden="false" customHeight="false" outlineLevel="0" collapsed="false">
      <c r="B4" s="3" t="s">
        <v>2</v>
      </c>
    </row>
    <row r="5" customFormat="false" ht="15" hidden="false" customHeight="false" outlineLevel="0" collapsed="false">
      <c r="B5" s="3" t="s">
        <v>3</v>
      </c>
    </row>
    <row r="6" customFormat="false" ht="15" hidden="false" customHeight="false" outlineLevel="0" collapsed="false">
      <c r="B6" s="3" t="s">
        <v>4</v>
      </c>
    </row>
    <row r="7" customFormat="false" ht="15" hidden="false" customHeight="false" outlineLevel="0" collapsed="false">
      <c r="B7" s="3" t="s">
        <v>5</v>
      </c>
    </row>
    <row r="9" customFormat="false" ht="15" hidden="false" customHeight="false" outlineLevel="0" collapsed="false">
      <c r="B9" s="2" t="s">
        <v>6</v>
      </c>
    </row>
    <row r="10" customFormat="false" ht="15" hidden="false" customHeight="false" outlineLevel="0" collapsed="false">
      <c r="B10" s="3" t="s">
        <v>7</v>
      </c>
    </row>
    <row r="11" customFormat="false" ht="15" hidden="false" customHeight="false" outlineLevel="0" collapsed="false">
      <c r="B11" s="3" t="s">
        <v>8</v>
      </c>
    </row>
    <row r="12" customFormat="false" ht="15" hidden="false" customHeight="false" outlineLevel="0" collapsed="false">
      <c r="B12" s="3" t="s">
        <v>9</v>
      </c>
    </row>
    <row r="13" customFormat="false" ht="15" hidden="false" customHeight="false" outlineLevel="0" collapsed="false">
      <c r="B13" s="3" t="s">
        <v>10</v>
      </c>
    </row>
    <row r="15" customFormat="false" ht="15" hidden="false" customHeight="false" outlineLevel="0" collapsed="false">
      <c r="B15" s="2" t="s">
        <v>11</v>
      </c>
    </row>
    <row r="16" customFormat="false" ht="15" hidden="false" customHeight="false" outlineLevel="0" collapsed="false">
      <c r="B16" s="3" t="s">
        <v>12</v>
      </c>
    </row>
    <row r="17" customFormat="false" ht="15" hidden="false" customHeight="false" outlineLevel="0" collapsed="false">
      <c r="B17" s="3" t="s">
        <v>13</v>
      </c>
    </row>
    <row r="18" customFormat="false" ht="15" hidden="false" customHeight="false" outlineLevel="0" collapsed="false">
      <c r="B18" s="3" t="s">
        <v>14</v>
      </c>
    </row>
    <row r="19" customFormat="false" ht="15" hidden="false" customHeight="false" outlineLevel="0" collapsed="false">
      <c r="B19" s="3" t="s">
        <v>15</v>
      </c>
    </row>
    <row r="21" customFormat="false" ht="15" hidden="false" customHeight="false" outlineLevel="0" collapsed="false">
      <c r="B21" s="2" t="s">
        <v>16</v>
      </c>
    </row>
    <row r="22" customFormat="false" ht="15" hidden="false" customHeight="false" outlineLevel="0" collapsed="false">
      <c r="B22" s="3" t="s">
        <v>17</v>
      </c>
    </row>
    <row r="23" customFormat="false" ht="15" hidden="false" customHeight="false" outlineLevel="0" collapsed="false">
      <c r="B23" s="3" t="s">
        <v>18</v>
      </c>
    </row>
    <row r="24" customFormat="false" ht="15" hidden="false" customHeight="false" outlineLevel="0" collapsed="false">
      <c r="B24" s="3" t="s">
        <v>19</v>
      </c>
    </row>
    <row r="25" customFormat="false" ht="15" hidden="false" customHeight="false" outlineLevel="0" collapsed="false">
      <c r="B25" s="3" t="s">
        <v>20</v>
      </c>
    </row>
    <row r="26" customFormat="false" ht="15" hidden="false" customHeight="false" outlineLevel="0" collapsed="false">
      <c r="B26" s="3" t="s">
        <v>21</v>
      </c>
    </row>
    <row r="28" customFormat="false" ht="15" hidden="false" customHeight="false" outlineLevel="0" collapsed="false">
      <c r="B28" s="2" t="s">
        <v>22</v>
      </c>
    </row>
    <row r="29" customFormat="false" ht="15" hidden="false" customHeight="false" outlineLevel="0" collapsed="false">
      <c r="B29" s="3" t="s">
        <v>23</v>
      </c>
    </row>
    <row r="30" customFormat="false" ht="15" hidden="false" customHeight="false" outlineLevel="0" collapsed="false">
      <c r="B30" s="3" t="s">
        <v>24</v>
      </c>
    </row>
    <row r="31" customFormat="false" ht="15" hidden="false" customHeight="false" outlineLevel="0" collapsed="false">
      <c r="B31"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40"/>
    <col collapsed="false" customWidth="true" hidden="false" outlineLevel="0" max="4" min="4" style="0" width="11"/>
    <col collapsed="false" customWidth="true" hidden="false" outlineLevel="0" max="5" min="5" style="0" width="10"/>
    <col collapsed="false" customWidth="true" hidden="false" outlineLevel="0" max="6" min="6" style="0" width="18"/>
    <col collapsed="false" customWidth="true" hidden="false" outlineLevel="0" max="7" min="7" style="0" width="26"/>
    <col collapsed="false" customWidth="true" hidden="false" outlineLevel="0" max="8" min="8" style="0" width="10"/>
  </cols>
  <sheetData>
    <row r="1" customFormat="false" ht="18.55" hidden="false" customHeight="false" outlineLevel="0" collapsed="false">
      <c r="A1" s="1" t="s">
        <v>26</v>
      </c>
    </row>
    <row r="2" customFormat="false" ht="15" hidden="false" customHeight="false" outlineLevel="0" collapsed="false">
      <c r="A2" s="4" t="s">
        <v>27</v>
      </c>
    </row>
    <row r="4" customFormat="false" ht="31.5" hidden="false" customHeight="true" outlineLevel="0" collapsed="false">
      <c r="A4" s="5" t="s">
        <v>28</v>
      </c>
      <c r="B4" s="5" t="s">
        <v>29</v>
      </c>
      <c r="C4" s="5" t="s">
        <v>30</v>
      </c>
      <c r="D4" s="5" t="s">
        <v>31</v>
      </c>
      <c r="E4" s="5" t="s">
        <v>32</v>
      </c>
      <c r="F4" s="5" t="s">
        <v>33</v>
      </c>
      <c r="G4" s="5" t="s">
        <v>34</v>
      </c>
      <c r="H4" s="5" t="s">
        <v>35</v>
      </c>
    </row>
    <row r="5" customFormat="false" ht="15" hidden="false" customHeight="false" outlineLevel="0" collapsed="false">
      <c r="A5" s="6" t="s">
        <v>36</v>
      </c>
      <c r="B5" s="7" t="s">
        <v>37</v>
      </c>
      <c r="C5" s="8" t="s">
        <v>38</v>
      </c>
      <c r="D5" s="9" t="n">
        <f aca="false">COUNTIF(ActivityUX!$C$5:$C$65,B5)</f>
        <v>3</v>
      </c>
      <c r="E5" s="9" t="n">
        <f aca="false">SUMIF(ActivityUX!$C$5:$C$65,B5,ActivityUX!$F$5:$F$65)</f>
        <v>8</v>
      </c>
      <c r="F5" s="7" t="s">
        <v>39</v>
      </c>
      <c r="G5" s="7" t="s">
        <v>40</v>
      </c>
      <c r="H5" s="7" t="s">
        <v>41</v>
      </c>
    </row>
    <row r="6" customFormat="false" ht="15" hidden="false" customHeight="false" outlineLevel="0" collapsed="false">
      <c r="A6" s="6" t="s">
        <v>42</v>
      </c>
      <c r="B6" s="7" t="s">
        <v>43</v>
      </c>
      <c r="C6" s="8" t="s">
        <v>44</v>
      </c>
      <c r="D6" s="9" t="n">
        <f aca="false">COUNTIF(ActivityUX!$C$5:$C$65,B6)</f>
        <v>3</v>
      </c>
      <c r="E6" s="9" t="n">
        <f aca="false">SUMIF(ActivityUX!$C$5:$C$65,B6,ActivityUX!$F$5:$F$65)</f>
        <v>19</v>
      </c>
      <c r="F6" s="7" t="s">
        <v>45</v>
      </c>
      <c r="G6" s="7" t="s">
        <v>46</v>
      </c>
      <c r="H6" s="10" t="s">
        <v>47</v>
      </c>
    </row>
    <row r="7" customFormat="false" ht="15" hidden="false" customHeight="false" outlineLevel="0" collapsed="false">
      <c r="A7" s="6" t="s">
        <v>42</v>
      </c>
      <c r="B7" s="7" t="s">
        <v>48</v>
      </c>
      <c r="C7" s="8" t="s">
        <v>49</v>
      </c>
      <c r="D7" s="9" t="n">
        <f aca="false">COUNTIF(ActivityUX!$C$5:$C$65,B7)</f>
        <v>2</v>
      </c>
      <c r="E7" s="9" t="n">
        <f aca="false">SUMIF(ActivityUX!$C$5:$C$65,B7,ActivityUX!$F$5:$F$65)</f>
        <v>10</v>
      </c>
      <c r="F7" s="7" t="s">
        <v>45</v>
      </c>
      <c r="G7" s="7" t="s">
        <v>50</v>
      </c>
      <c r="H7" s="7" t="s">
        <v>41</v>
      </c>
    </row>
    <row r="8" customFormat="false" ht="15" hidden="false" customHeight="false" outlineLevel="0" collapsed="false">
      <c r="A8" s="6" t="s">
        <v>42</v>
      </c>
      <c r="B8" s="7" t="s">
        <v>51</v>
      </c>
      <c r="C8" s="8" t="s">
        <v>52</v>
      </c>
      <c r="D8" s="9" t="n">
        <f aca="false">COUNTIF(ActivityUX!$C$5:$C$65,B8)</f>
        <v>3</v>
      </c>
      <c r="E8" s="9" t="n">
        <f aca="false">SUMIF(ActivityUX!$C$5:$C$65,B8,ActivityUX!$F$5:$F$65)</f>
        <v>16</v>
      </c>
      <c r="F8" s="7" t="s">
        <v>53</v>
      </c>
      <c r="G8" s="7" t="s">
        <v>50</v>
      </c>
      <c r="H8" s="7" t="s">
        <v>41</v>
      </c>
    </row>
    <row r="9" customFormat="false" ht="15" hidden="false" customHeight="false" outlineLevel="0" collapsed="false">
      <c r="A9" s="6" t="s">
        <v>42</v>
      </c>
      <c r="B9" s="7" t="s">
        <v>54</v>
      </c>
      <c r="C9" s="8" t="s">
        <v>55</v>
      </c>
      <c r="D9" s="9" t="n">
        <f aca="false">COUNTIF(ActivityUX!$C$5:$C$65,B9)</f>
        <v>2</v>
      </c>
      <c r="E9" s="9" t="n">
        <f aca="false">SUMIF(ActivityUX!$C$5:$C$65,B9,ActivityUX!$F$5:$F$65)</f>
        <v>9</v>
      </c>
      <c r="F9" s="7" t="s">
        <v>45</v>
      </c>
      <c r="G9" s="7" t="s">
        <v>50</v>
      </c>
      <c r="H9" s="7" t="s">
        <v>41</v>
      </c>
    </row>
    <row r="10" customFormat="false" ht="15" hidden="false" customHeight="false" outlineLevel="0" collapsed="false">
      <c r="A10" s="6" t="s">
        <v>56</v>
      </c>
      <c r="B10" s="7" t="s">
        <v>57</v>
      </c>
      <c r="C10" s="8" t="s">
        <v>58</v>
      </c>
      <c r="D10" s="9" t="n">
        <f aca="false">COUNTIF(ActivityUX!$C$5:$C$65,B10)</f>
        <v>3</v>
      </c>
      <c r="E10" s="9" t="n">
        <f aca="false">SUMIF(ActivityUX!$C$5:$C$65,B10,ActivityUX!$F$5:$F$65)</f>
        <v>12</v>
      </c>
      <c r="F10" s="7" t="s">
        <v>53</v>
      </c>
      <c r="G10" s="7" t="s">
        <v>59</v>
      </c>
      <c r="H10" s="7" t="s">
        <v>41</v>
      </c>
    </row>
    <row r="11" customFormat="false" ht="15" hidden="false" customHeight="false" outlineLevel="0" collapsed="false">
      <c r="A11" s="6" t="s">
        <v>56</v>
      </c>
      <c r="B11" s="7" t="s">
        <v>60</v>
      </c>
      <c r="C11" s="8" t="s">
        <v>61</v>
      </c>
      <c r="D11" s="9" t="n">
        <f aca="false">COUNTIF(ActivityUX!$C$5:$C$65,B11)</f>
        <v>3</v>
      </c>
      <c r="E11" s="9" t="n">
        <f aca="false">SUMIF(ActivityUX!$C$5:$C$65,B11,ActivityUX!$F$5:$F$65)</f>
        <v>16</v>
      </c>
      <c r="F11" s="7" t="s">
        <v>45</v>
      </c>
      <c r="G11" s="7" t="s">
        <v>59</v>
      </c>
      <c r="H11" s="7" t="s">
        <v>41</v>
      </c>
    </row>
    <row r="12" customFormat="false" ht="15" hidden="false" customHeight="false" outlineLevel="0" collapsed="false">
      <c r="A12" s="6" t="s">
        <v>56</v>
      </c>
      <c r="B12" s="7" t="s">
        <v>62</v>
      </c>
      <c r="C12" s="8" t="s">
        <v>63</v>
      </c>
      <c r="D12" s="9" t="n">
        <f aca="false">COUNTIF(ActivityUX!$C$5:$C$65,B12)</f>
        <v>3</v>
      </c>
      <c r="E12" s="9" t="n">
        <f aca="false">SUMIF(ActivityUX!$C$5:$C$65,B12,ActivityUX!$F$5:$F$65)</f>
        <v>14</v>
      </c>
      <c r="F12" s="7" t="s">
        <v>45</v>
      </c>
      <c r="G12" s="7" t="s">
        <v>59</v>
      </c>
      <c r="H12" s="7" t="s">
        <v>41</v>
      </c>
    </row>
    <row r="13" customFormat="false" ht="15" hidden="false" customHeight="false" outlineLevel="0" collapsed="false">
      <c r="A13" s="6" t="s">
        <v>56</v>
      </c>
      <c r="B13" s="7" t="s">
        <v>64</v>
      </c>
      <c r="C13" s="8" t="s">
        <v>65</v>
      </c>
      <c r="D13" s="9" t="n">
        <f aca="false">COUNTIF(ActivityUX!$C$5:$C$65,B13)</f>
        <v>3</v>
      </c>
      <c r="E13" s="9" t="n">
        <f aca="false">SUMIF(ActivityUX!$C$5:$C$65,B13,ActivityUX!$F$5:$F$65)</f>
        <v>13</v>
      </c>
      <c r="F13" s="7" t="s">
        <v>53</v>
      </c>
      <c r="G13" s="7" t="s">
        <v>59</v>
      </c>
      <c r="H13" s="7" t="s">
        <v>41</v>
      </c>
    </row>
    <row r="14" customFormat="false" ht="15" hidden="false" customHeight="false" outlineLevel="0" collapsed="false">
      <c r="A14" s="6" t="s">
        <v>56</v>
      </c>
      <c r="B14" s="7" t="s">
        <v>66</v>
      </c>
      <c r="C14" s="8" t="s">
        <v>67</v>
      </c>
      <c r="D14" s="9" t="n">
        <f aca="false">COUNTIF(ActivityUX!$C$5:$C$65,B14)</f>
        <v>3</v>
      </c>
      <c r="E14" s="9" t="n">
        <f aca="false">SUMIF(ActivityUX!$C$5:$C$65,B14,ActivityUX!$F$5:$F$65)</f>
        <v>14</v>
      </c>
      <c r="F14" s="7" t="s">
        <v>53</v>
      </c>
      <c r="G14" s="7" t="s">
        <v>59</v>
      </c>
      <c r="H14" s="7" t="s">
        <v>41</v>
      </c>
    </row>
    <row r="15" customFormat="false" ht="15" hidden="false" customHeight="false" outlineLevel="0" collapsed="false">
      <c r="A15" s="6" t="s">
        <v>68</v>
      </c>
      <c r="B15" s="7" t="s">
        <v>69</v>
      </c>
      <c r="C15" s="8" t="s">
        <v>70</v>
      </c>
      <c r="D15" s="9" t="n">
        <f aca="false">COUNTIF(ActivityUX!$C$5:$C$65,B15)</f>
        <v>3</v>
      </c>
      <c r="E15" s="9" t="n">
        <f aca="false">SUMIF(ActivityUX!$C$5:$C$65,B15,ActivityUX!$F$5:$F$65)</f>
        <v>13</v>
      </c>
      <c r="F15" s="7" t="s">
        <v>71</v>
      </c>
      <c r="G15" s="7" t="s">
        <v>72</v>
      </c>
      <c r="H15" s="7" t="s">
        <v>41</v>
      </c>
    </row>
    <row r="16" customFormat="false" ht="15" hidden="false" customHeight="false" outlineLevel="0" collapsed="false">
      <c r="A16" s="6" t="s">
        <v>68</v>
      </c>
      <c r="B16" s="7" t="s">
        <v>73</v>
      </c>
      <c r="C16" s="8" t="s">
        <v>74</v>
      </c>
      <c r="D16" s="9" t="n">
        <f aca="false">COUNTIF(ActivityUX!$C$5:$C$65,B16)</f>
        <v>4</v>
      </c>
      <c r="E16" s="9" t="n">
        <f aca="false">SUMIF(ActivityUX!$C$5:$C$65,B16,ActivityUX!$F$5:$F$65)</f>
        <v>18</v>
      </c>
      <c r="F16" s="7" t="s">
        <v>71</v>
      </c>
      <c r="G16" s="7" t="s">
        <v>72</v>
      </c>
      <c r="H16" s="7" t="s">
        <v>41</v>
      </c>
    </row>
    <row r="17" customFormat="false" ht="15" hidden="false" customHeight="false" outlineLevel="0" collapsed="false">
      <c r="A17" s="6" t="s">
        <v>68</v>
      </c>
      <c r="B17" s="7" t="s">
        <v>75</v>
      </c>
      <c r="C17" s="8" t="s">
        <v>76</v>
      </c>
      <c r="D17" s="9" t="n">
        <f aca="false">COUNTIF(ActivityUX!$C$5:$C$65,B17)</f>
        <v>3</v>
      </c>
      <c r="E17" s="9" t="n">
        <f aca="false">SUMIF(ActivityUX!$C$5:$C$65,B17,ActivityUX!$F$5:$F$65)</f>
        <v>15</v>
      </c>
      <c r="F17" s="7" t="s">
        <v>77</v>
      </c>
      <c r="G17" s="7" t="s">
        <v>78</v>
      </c>
      <c r="H17" s="7" t="s">
        <v>41</v>
      </c>
    </row>
    <row r="18" customFormat="false" ht="15" hidden="false" customHeight="false" outlineLevel="0" collapsed="false">
      <c r="A18" s="6" t="s">
        <v>68</v>
      </c>
      <c r="B18" s="7" t="s">
        <v>79</v>
      </c>
      <c r="C18" s="8" t="s">
        <v>80</v>
      </c>
      <c r="D18" s="9" t="n">
        <f aca="false">COUNTIF(ActivityUX!$C$5:$C$65,B18)</f>
        <v>4</v>
      </c>
      <c r="E18" s="9" t="n">
        <f aca="false">SUMIF(ActivityUX!$C$5:$C$65,B18,ActivityUX!$F$5:$F$65)</f>
        <v>26</v>
      </c>
      <c r="F18" s="7" t="s">
        <v>77</v>
      </c>
      <c r="G18" s="7" t="s">
        <v>81</v>
      </c>
      <c r="H18" s="7" t="s">
        <v>41</v>
      </c>
    </row>
    <row r="19" customFormat="false" ht="15" hidden="false" customHeight="false" outlineLevel="0" collapsed="false">
      <c r="A19" s="6" t="s">
        <v>68</v>
      </c>
      <c r="B19" s="7" t="s">
        <v>82</v>
      </c>
      <c r="C19" s="8" t="s">
        <v>83</v>
      </c>
      <c r="D19" s="9" t="n">
        <f aca="false">COUNTIF(ActivityUX!$C$5:$C$65,B19)</f>
        <v>2</v>
      </c>
      <c r="E19" s="9" t="n">
        <f aca="false">SUMIF(ActivityUX!$C$5:$C$65,B19,ActivityUX!$F$5:$F$65)</f>
        <v>8</v>
      </c>
      <c r="F19" s="7" t="s">
        <v>77</v>
      </c>
      <c r="G19" s="7" t="s">
        <v>84</v>
      </c>
      <c r="H19" s="7" t="s">
        <v>41</v>
      </c>
    </row>
    <row r="20" customFormat="false" ht="15" hidden="false" customHeight="false" outlineLevel="0" collapsed="false">
      <c r="A20" s="6" t="s">
        <v>68</v>
      </c>
      <c r="B20" s="7" t="s">
        <v>85</v>
      </c>
      <c r="C20" s="8" t="s">
        <v>86</v>
      </c>
      <c r="D20" s="9" t="n">
        <f aca="false">COUNTIF(ActivityUX!$C$5:$C$65,B20)</f>
        <v>5</v>
      </c>
      <c r="E20" s="9" t="n">
        <f aca="false">SUMIF(ActivityUX!$C$5:$C$65,B20,ActivityUX!$F$5:$F$65)</f>
        <v>30</v>
      </c>
      <c r="F20" s="7" t="s">
        <v>71</v>
      </c>
      <c r="G20" s="7" t="s">
        <v>81</v>
      </c>
      <c r="H20" s="10" t="s">
        <v>47</v>
      </c>
    </row>
    <row r="21" customFormat="false" ht="15" hidden="false" customHeight="false" outlineLevel="0" collapsed="false">
      <c r="A21" s="6" t="s">
        <v>87</v>
      </c>
      <c r="B21" s="7" t="s">
        <v>88</v>
      </c>
      <c r="C21" s="8" t="s">
        <v>89</v>
      </c>
      <c r="D21" s="9" t="n">
        <f aca="false">COUNTIF(ActivityUX!$C$5:$C$65,B21)</f>
        <v>2</v>
      </c>
      <c r="E21" s="9" t="n">
        <f aca="false">SUMIF(ActivityUX!$C$5:$C$65,B21,ActivityUX!$F$5:$F$65)</f>
        <v>8</v>
      </c>
      <c r="F21" s="7" t="s">
        <v>53</v>
      </c>
      <c r="G21" s="7" t="s">
        <v>90</v>
      </c>
      <c r="H21" s="7" t="s">
        <v>41</v>
      </c>
    </row>
    <row r="22" customFormat="false" ht="15" hidden="false" customHeight="false" outlineLevel="0" collapsed="false">
      <c r="A22" s="6" t="s">
        <v>87</v>
      </c>
      <c r="B22" s="7" t="s">
        <v>91</v>
      </c>
      <c r="C22" s="8" t="s">
        <v>92</v>
      </c>
      <c r="D22" s="9" t="n">
        <f aca="false">COUNTIF(ActivityUX!$C$5:$C$65,B22)</f>
        <v>2</v>
      </c>
      <c r="E22" s="9" t="n">
        <f aca="false">SUMIF(ActivityUX!$C$5:$C$65,B22,ActivityUX!$F$5:$F$65)</f>
        <v>10</v>
      </c>
      <c r="F22" s="7" t="s">
        <v>53</v>
      </c>
      <c r="G22" s="7" t="s">
        <v>90</v>
      </c>
      <c r="H22" s="7" t="s">
        <v>41</v>
      </c>
    </row>
    <row r="23" customFormat="false" ht="15" hidden="false" customHeight="false" outlineLevel="0" collapsed="false">
      <c r="A23" s="6" t="s">
        <v>87</v>
      </c>
      <c r="B23" s="7" t="s">
        <v>93</v>
      </c>
      <c r="C23" s="8" t="s">
        <v>94</v>
      </c>
      <c r="D23" s="9" t="n">
        <f aca="false">COUNTIF(ActivityUX!$C$5:$C$65,B23)</f>
        <v>4</v>
      </c>
      <c r="E23" s="9" t="n">
        <f aca="false">SUMIF(ActivityUX!$C$5:$C$65,B23,ActivityUX!$F$5:$F$65)</f>
        <v>17</v>
      </c>
      <c r="F23" s="7" t="s">
        <v>53</v>
      </c>
      <c r="G23" s="7" t="s">
        <v>90</v>
      </c>
      <c r="H23" s="7" t="s">
        <v>41</v>
      </c>
    </row>
    <row r="24" customFormat="false" ht="15" hidden="false" customHeight="false" outlineLevel="0" collapsed="false">
      <c r="A24" s="6" t="s">
        <v>95</v>
      </c>
      <c r="B24" s="7" t="s">
        <v>96</v>
      </c>
      <c r="C24" s="8" t="s">
        <v>97</v>
      </c>
      <c r="D24" s="9" t="n">
        <f aca="false">COUNTIF(ActivityUX!$C$5:$C$65,B24)</f>
        <v>2</v>
      </c>
      <c r="E24" s="9" t="n">
        <f aca="false">SUMIF(ActivityUX!$C$5:$C$65,B24,ActivityUX!$F$5:$F$65)</f>
        <v>11</v>
      </c>
      <c r="F24" s="7" t="s">
        <v>53</v>
      </c>
      <c r="G24" s="7" t="s">
        <v>98</v>
      </c>
      <c r="H24" s="7" t="s">
        <v>41</v>
      </c>
    </row>
    <row r="25" customFormat="false" ht="15" hidden="false" customHeight="false" outlineLevel="0" collapsed="false">
      <c r="A25" s="6" t="s">
        <v>95</v>
      </c>
      <c r="B25" s="7" t="s">
        <v>99</v>
      </c>
      <c r="C25" s="8" t="s">
        <v>100</v>
      </c>
      <c r="D25" s="9" t="n">
        <f aca="false">COUNTIF(ActivityUX!$C$5:$C$65,B25)</f>
        <v>1</v>
      </c>
      <c r="E25" s="9" t="n">
        <f aca="false">SUMIF(ActivityUX!$C$5:$C$65,B25,ActivityUX!$F$5:$F$65)</f>
        <v>4</v>
      </c>
      <c r="F25" s="7" t="s">
        <v>53</v>
      </c>
      <c r="G25" s="7" t="s">
        <v>98</v>
      </c>
      <c r="H25" s="7" t="s">
        <v>41</v>
      </c>
    </row>
    <row r="26" customFormat="false" ht="15" hidden="false" customHeight="false" outlineLevel="0" collapsed="false">
      <c r="A26" s="6" t="s">
        <v>95</v>
      </c>
      <c r="B26" s="7" t="s">
        <v>101</v>
      </c>
      <c r="C26" s="8" t="s">
        <v>102</v>
      </c>
      <c r="D26" s="9" t="n">
        <f aca="false">COUNTIF(ActivityUX!$C$5:$C$65,B26)</f>
        <v>1</v>
      </c>
      <c r="E26" s="9" t="n">
        <f aca="false">SUMIF(ActivityUX!$C$5:$C$65,B26,ActivityUX!$F$5:$F$65)</f>
        <v>4</v>
      </c>
      <c r="F26" s="7" t="s">
        <v>53</v>
      </c>
      <c r="G26" s="7" t="s">
        <v>98</v>
      </c>
      <c r="H26" s="7" t="s">
        <v>41</v>
      </c>
    </row>
    <row r="27" customFormat="false" ht="15" hidden="false" customHeight="false" outlineLevel="0" collapsed="false">
      <c r="A27" s="11"/>
      <c r="B27" s="11"/>
      <c r="C27" s="12" t="s">
        <v>103</v>
      </c>
      <c r="D27" s="12" t="n">
        <f aca="false">SUM(D5:D26)</f>
        <v>61</v>
      </c>
      <c r="E27" s="12" t="n">
        <f aca="false">SUM(E5:E26)</f>
        <v>295</v>
      </c>
      <c r="F27" s="11"/>
      <c r="G27" s="11"/>
      <c r="H27" s="11"/>
    </row>
    <row r="29" customFormat="false" ht="15" hidden="false" customHeight="false" outlineLevel="0" collapsed="false">
      <c r="C29" s="13" t="s">
        <v>104</v>
      </c>
      <c r="D29" s="13" t="str">
        <f aca="false">IF(D27=ActivityUX!E67,"MATCH","MISMATCH, an activity has a lesson code not listed here")</f>
        <v>MATCH</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9"/>
    <col collapsed="false" customWidth="true" hidden="false" outlineLevel="0" max="4" min="4" style="0" width="30"/>
    <col collapsed="false" customWidth="true" hidden="false" outlineLevel="0" max="5" min="5" style="0" width="8"/>
    <col collapsed="false" customWidth="true" hidden="false" outlineLevel="0" max="6" min="6" style="0" width="5"/>
    <col collapsed="false" customWidth="true" hidden="false" outlineLevel="0" max="7" min="7" style="0" width="8"/>
    <col collapsed="false" customWidth="true" hidden="false" outlineLevel="0" max="9" min="8" style="0" width="13"/>
    <col collapsed="false" customWidth="true" hidden="false" outlineLevel="0" max="10" min="10" style="0" width="40"/>
    <col collapsed="false" customWidth="true" hidden="false" outlineLevel="0" max="11" min="11" style="0" width="34"/>
    <col collapsed="false" customWidth="true" hidden="false" outlineLevel="0" max="12" min="12" style="0" width="12"/>
    <col collapsed="false" customWidth="true" hidden="false" outlineLevel="0" max="13" min="13" style="0" width="36"/>
    <col collapsed="false" customWidth="true" hidden="false" outlineLevel="0" max="15" min="14" style="0" width="26"/>
    <col collapsed="false" customWidth="true" hidden="false" outlineLevel="0" max="16" min="16" style="0" width="8"/>
  </cols>
  <sheetData>
    <row r="1" customFormat="false" ht="18.55" hidden="false" customHeight="false" outlineLevel="0" collapsed="false">
      <c r="A1" s="1" t="s">
        <v>105</v>
      </c>
    </row>
    <row r="2" customFormat="false" ht="15" hidden="false" customHeight="false" outlineLevel="0" collapsed="false">
      <c r="A2" s="4" t="s">
        <v>106</v>
      </c>
    </row>
    <row r="4" customFormat="false" ht="39.75" hidden="false" customHeight="true" outlineLevel="0" collapsed="false">
      <c r="A4" s="5" t="s">
        <v>107</v>
      </c>
      <c r="B4" s="5" t="s">
        <v>28</v>
      </c>
      <c r="C4" s="5" t="s">
        <v>29</v>
      </c>
      <c r="D4" s="5" t="s">
        <v>108</v>
      </c>
      <c r="E4" s="5" t="s">
        <v>109</v>
      </c>
      <c r="F4" s="5" t="s">
        <v>110</v>
      </c>
      <c r="G4" s="5" t="s">
        <v>111</v>
      </c>
      <c r="H4" s="5" t="s">
        <v>112</v>
      </c>
      <c r="I4" s="5" t="s">
        <v>113</v>
      </c>
      <c r="J4" s="5" t="s">
        <v>114</v>
      </c>
      <c r="K4" s="5" t="s">
        <v>115</v>
      </c>
      <c r="L4" s="5" t="s">
        <v>116</v>
      </c>
      <c r="M4" s="5" t="s">
        <v>117</v>
      </c>
      <c r="N4" s="5" t="s">
        <v>118</v>
      </c>
      <c r="O4" s="5" t="s">
        <v>119</v>
      </c>
      <c r="P4" s="5" t="s">
        <v>35</v>
      </c>
    </row>
    <row r="5" customFormat="false" ht="45.75" hidden="false" customHeight="true" outlineLevel="0" collapsed="false">
      <c r="A5" s="14" t="s">
        <v>120</v>
      </c>
      <c r="B5" s="15" t="s">
        <v>36</v>
      </c>
      <c r="C5" s="15" t="s">
        <v>37</v>
      </c>
      <c r="D5" s="15" t="s">
        <v>121</v>
      </c>
      <c r="E5" s="15" t="s">
        <v>122</v>
      </c>
      <c r="F5" s="15" t="n">
        <v>3</v>
      </c>
      <c r="G5" s="16" t="s">
        <v>123</v>
      </c>
      <c r="H5" s="15" t="s">
        <v>124</v>
      </c>
      <c r="I5" s="15"/>
      <c r="J5" s="17" t="s">
        <v>125</v>
      </c>
      <c r="K5" s="17" t="s">
        <v>126</v>
      </c>
      <c r="L5" s="17" t="s">
        <v>127</v>
      </c>
      <c r="M5" s="17" t="s">
        <v>128</v>
      </c>
      <c r="N5" s="17" t="s">
        <v>129</v>
      </c>
      <c r="O5" s="17" t="s">
        <v>130</v>
      </c>
      <c r="P5" s="17" t="s">
        <v>41</v>
      </c>
    </row>
    <row r="6" customFormat="false" ht="45.75" hidden="false" customHeight="true" outlineLevel="0" collapsed="false">
      <c r="A6" s="14" t="s">
        <v>131</v>
      </c>
      <c r="B6" s="15" t="s">
        <v>36</v>
      </c>
      <c r="C6" s="15" t="s">
        <v>37</v>
      </c>
      <c r="D6" s="15" t="s">
        <v>132</v>
      </c>
      <c r="E6" s="15" t="s">
        <v>122</v>
      </c>
      <c r="F6" s="15" t="n">
        <v>2</v>
      </c>
      <c r="G6" s="16" t="s">
        <v>123</v>
      </c>
      <c r="H6" s="15" t="s">
        <v>124</v>
      </c>
      <c r="I6" s="15"/>
      <c r="J6" s="17" t="s">
        <v>133</v>
      </c>
      <c r="K6" s="17" t="s">
        <v>134</v>
      </c>
      <c r="L6" s="17" t="s">
        <v>135</v>
      </c>
      <c r="M6" s="17" t="s">
        <v>136</v>
      </c>
      <c r="N6" s="17" t="s">
        <v>137</v>
      </c>
      <c r="O6" s="17" t="s">
        <v>138</v>
      </c>
      <c r="P6" s="17" t="s">
        <v>41</v>
      </c>
    </row>
    <row r="7" customFormat="false" ht="45.75" hidden="false" customHeight="true" outlineLevel="0" collapsed="false">
      <c r="A7" s="14" t="s">
        <v>139</v>
      </c>
      <c r="B7" s="15" t="s">
        <v>36</v>
      </c>
      <c r="C7" s="15" t="s">
        <v>37</v>
      </c>
      <c r="D7" s="15" t="s">
        <v>140</v>
      </c>
      <c r="E7" s="15" t="s">
        <v>122</v>
      </c>
      <c r="F7" s="15" t="n">
        <v>3</v>
      </c>
      <c r="G7" s="18" t="s">
        <v>141</v>
      </c>
      <c r="H7" s="15" t="s">
        <v>124</v>
      </c>
      <c r="I7" s="15"/>
      <c r="J7" s="17" t="s">
        <v>142</v>
      </c>
      <c r="K7" s="17" t="s">
        <v>143</v>
      </c>
      <c r="L7" s="17" t="s">
        <v>144</v>
      </c>
      <c r="M7" s="17" t="s">
        <v>145</v>
      </c>
      <c r="N7" s="17" t="s">
        <v>146</v>
      </c>
      <c r="O7" s="17" t="s">
        <v>147</v>
      </c>
      <c r="P7" s="17" t="s">
        <v>41</v>
      </c>
    </row>
    <row r="8" customFormat="false" ht="45.75" hidden="false" customHeight="true" outlineLevel="0" collapsed="false">
      <c r="A8" s="14" t="s">
        <v>148</v>
      </c>
      <c r="B8" s="15" t="s">
        <v>42</v>
      </c>
      <c r="C8" s="15" t="s">
        <v>43</v>
      </c>
      <c r="D8" s="15" t="s">
        <v>149</v>
      </c>
      <c r="E8" s="15" t="s">
        <v>122</v>
      </c>
      <c r="F8" s="15" t="n">
        <v>8</v>
      </c>
      <c r="G8" s="19" t="s">
        <v>45</v>
      </c>
      <c r="H8" s="15" t="s">
        <v>150</v>
      </c>
      <c r="I8" s="15" t="s">
        <v>151</v>
      </c>
      <c r="J8" s="17" t="s">
        <v>152</v>
      </c>
      <c r="K8" s="17" t="s">
        <v>153</v>
      </c>
      <c r="L8" s="17" t="s">
        <v>135</v>
      </c>
      <c r="M8" s="17" t="s">
        <v>154</v>
      </c>
      <c r="N8" s="17" t="s">
        <v>155</v>
      </c>
      <c r="O8" s="17" t="s">
        <v>156</v>
      </c>
      <c r="P8" s="20" t="s">
        <v>47</v>
      </c>
    </row>
    <row r="9" customFormat="false" ht="45.75" hidden="false" customHeight="true" outlineLevel="0" collapsed="false">
      <c r="A9" s="14" t="s">
        <v>157</v>
      </c>
      <c r="B9" s="15" t="s">
        <v>42</v>
      </c>
      <c r="C9" s="15" t="s">
        <v>43</v>
      </c>
      <c r="D9" s="15" t="s">
        <v>158</v>
      </c>
      <c r="E9" s="15" t="s">
        <v>159</v>
      </c>
      <c r="F9" s="15" t="n">
        <v>6</v>
      </c>
      <c r="G9" s="19" t="s">
        <v>45</v>
      </c>
      <c r="H9" s="15" t="s">
        <v>160</v>
      </c>
      <c r="I9" s="15"/>
      <c r="J9" s="17" t="s">
        <v>161</v>
      </c>
      <c r="K9" s="17" t="s">
        <v>162</v>
      </c>
      <c r="L9" s="17" t="s">
        <v>163</v>
      </c>
      <c r="M9" s="17" t="s">
        <v>164</v>
      </c>
      <c r="N9" s="17" t="s">
        <v>165</v>
      </c>
      <c r="O9" s="17" t="s">
        <v>166</v>
      </c>
      <c r="P9" s="20" t="s">
        <v>47</v>
      </c>
    </row>
    <row r="10" customFormat="false" ht="45.75" hidden="false" customHeight="true" outlineLevel="0" collapsed="false">
      <c r="A10" s="14" t="s">
        <v>167</v>
      </c>
      <c r="B10" s="15" t="s">
        <v>42</v>
      </c>
      <c r="C10" s="15" t="s">
        <v>43</v>
      </c>
      <c r="D10" s="15" t="s">
        <v>168</v>
      </c>
      <c r="E10" s="15" t="s">
        <v>169</v>
      </c>
      <c r="F10" s="15" t="n">
        <v>5</v>
      </c>
      <c r="G10" s="19" t="s">
        <v>45</v>
      </c>
      <c r="H10" s="21" t="s">
        <v>170</v>
      </c>
      <c r="I10" s="15" t="s">
        <v>171</v>
      </c>
      <c r="J10" s="17" t="s">
        <v>172</v>
      </c>
      <c r="K10" s="17" t="s">
        <v>173</v>
      </c>
      <c r="L10" s="17" t="s">
        <v>174</v>
      </c>
      <c r="M10" s="17" t="s">
        <v>175</v>
      </c>
      <c r="N10" s="17" t="s">
        <v>176</v>
      </c>
      <c r="O10" s="17" t="s">
        <v>177</v>
      </c>
      <c r="P10" s="20" t="s">
        <v>47</v>
      </c>
    </row>
    <row r="11" customFormat="false" ht="45.75" hidden="false" customHeight="true" outlineLevel="0" collapsed="false">
      <c r="A11" s="14" t="s">
        <v>178</v>
      </c>
      <c r="B11" s="15" t="s">
        <v>42</v>
      </c>
      <c r="C11" s="15" t="s">
        <v>48</v>
      </c>
      <c r="D11" s="15" t="s">
        <v>179</v>
      </c>
      <c r="E11" s="15" t="s">
        <v>159</v>
      </c>
      <c r="F11" s="15" t="n">
        <v>6</v>
      </c>
      <c r="G11" s="19" t="s">
        <v>45</v>
      </c>
      <c r="H11" s="15" t="s">
        <v>150</v>
      </c>
      <c r="I11" s="15" t="s">
        <v>180</v>
      </c>
      <c r="J11" s="17" t="s">
        <v>181</v>
      </c>
      <c r="K11" s="17" t="s">
        <v>182</v>
      </c>
      <c r="L11" s="17" t="s">
        <v>135</v>
      </c>
      <c r="M11" s="17" t="s">
        <v>183</v>
      </c>
      <c r="N11" s="17" t="s">
        <v>176</v>
      </c>
      <c r="O11" s="17" t="s">
        <v>184</v>
      </c>
      <c r="P11" s="17" t="s">
        <v>41</v>
      </c>
    </row>
    <row r="12" customFormat="false" ht="45.75" hidden="false" customHeight="true" outlineLevel="0" collapsed="false">
      <c r="A12" s="14" t="s">
        <v>185</v>
      </c>
      <c r="B12" s="15" t="s">
        <v>42</v>
      </c>
      <c r="C12" s="15" t="s">
        <v>48</v>
      </c>
      <c r="D12" s="15" t="s">
        <v>186</v>
      </c>
      <c r="E12" s="15" t="s">
        <v>169</v>
      </c>
      <c r="F12" s="15" t="n">
        <v>4</v>
      </c>
      <c r="G12" s="19" t="s">
        <v>45</v>
      </c>
      <c r="H12" s="21" t="s">
        <v>170</v>
      </c>
      <c r="I12" s="15" t="s">
        <v>180</v>
      </c>
      <c r="J12" s="17" t="s">
        <v>187</v>
      </c>
      <c r="K12" s="17" t="s">
        <v>188</v>
      </c>
      <c r="L12" s="17" t="s">
        <v>135</v>
      </c>
      <c r="M12" s="17" t="s">
        <v>189</v>
      </c>
      <c r="N12" s="17" t="s">
        <v>176</v>
      </c>
      <c r="O12" s="17" t="s">
        <v>190</v>
      </c>
      <c r="P12" s="17" t="s">
        <v>41</v>
      </c>
    </row>
    <row r="13" customFormat="false" ht="45.75" hidden="false" customHeight="true" outlineLevel="0" collapsed="false">
      <c r="A13" s="14" t="s">
        <v>191</v>
      </c>
      <c r="B13" s="15" t="s">
        <v>42</v>
      </c>
      <c r="C13" s="15" t="s">
        <v>51</v>
      </c>
      <c r="D13" s="15" t="s">
        <v>192</v>
      </c>
      <c r="E13" s="15" t="s">
        <v>159</v>
      </c>
      <c r="F13" s="15" t="n">
        <v>6</v>
      </c>
      <c r="G13" s="19" t="s">
        <v>45</v>
      </c>
      <c r="H13" s="15" t="s">
        <v>150</v>
      </c>
      <c r="I13" s="15" t="s">
        <v>193</v>
      </c>
      <c r="J13" s="17" t="s">
        <v>194</v>
      </c>
      <c r="K13" s="17" t="s">
        <v>195</v>
      </c>
      <c r="L13" s="17" t="s">
        <v>196</v>
      </c>
      <c r="M13" s="17" t="s">
        <v>197</v>
      </c>
      <c r="N13" s="17" t="s">
        <v>198</v>
      </c>
      <c r="O13" s="17" t="s">
        <v>199</v>
      </c>
      <c r="P13" s="17" t="s">
        <v>41</v>
      </c>
    </row>
    <row r="14" customFormat="false" ht="45.75" hidden="false" customHeight="true" outlineLevel="0" collapsed="false">
      <c r="A14" s="14" t="s">
        <v>200</v>
      </c>
      <c r="B14" s="15" t="s">
        <v>42</v>
      </c>
      <c r="C14" s="15" t="s">
        <v>51</v>
      </c>
      <c r="D14" s="15" t="s">
        <v>201</v>
      </c>
      <c r="E14" s="15" t="s">
        <v>159</v>
      </c>
      <c r="F14" s="15" t="n">
        <v>6</v>
      </c>
      <c r="G14" s="18" t="s">
        <v>141</v>
      </c>
      <c r="H14" s="15" t="s">
        <v>150</v>
      </c>
      <c r="I14" s="15" t="s">
        <v>202</v>
      </c>
      <c r="J14" s="17" t="s">
        <v>203</v>
      </c>
      <c r="K14" s="17" t="s">
        <v>204</v>
      </c>
      <c r="L14" s="17" t="s">
        <v>205</v>
      </c>
      <c r="M14" s="17" t="s">
        <v>206</v>
      </c>
      <c r="N14" s="17" t="s">
        <v>207</v>
      </c>
      <c r="O14" s="17" t="s">
        <v>208</v>
      </c>
      <c r="P14" s="17" t="s">
        <v>41</v>
      </c>
    </row>
    <row r="15" customFormat="false" ht="45.75" hidden="false" customHeight="true" outlineLevel="0" collapsed="false">
      <c r="A15" s="14" t="s">
        <v>209</v>
      </c>
      <c r="B15" s="15" t="s">
        <v>42</v>
      </c>
      <c r="C15" s="15" t="s">
        <v>51</v>
      </c>
      <c r="D15" s="15" t="s">
        <v>210</v>
      </c>
      <c r="E15" s="15" t="s">
        <v>169</v>
      </c>
      <c r="F15" s="15" t="n">
        <v>4</v>
      </c>
      <c r="G15" s="18" t="s">
        <v>141</v>
      </c>
      <c r="H15" s="21" t="s">
        <v>170</v>
      </c>
      <c r="I15" s="15" t="s">
        <v>211</v>
      </c>
      <c r="J15" s="17" t="s">
        <v>212</v>
      </c>
      <c r="K15" s="17" t="s">
        <v>213</v>
      </c>
      <c r="L15" s="17" t="s">
        <v>214</v>
      </c>
      <c r="M15" s="17" t="s">
        <v>215</v>
      </c>
      <c r="N15" s="17" t="s">
        <v>216</v>
      </c>
      <c r="O15" s="17" t="s">
        <v>217</v>
      </c>
      <c r="P15" s="17" t="s">
        <v>41</v>
      </c>
    </row>
    <row r="16" customFormat="false" ht="45.75" hidden="false" customHeight="true" outlineLevel="0" collapsed="false">
      <c r="A16" s="14" t="s">
        <v>218</v>
      </c>
      <c r="B16" s="15" t="s">
        <v>42</v>
      </c>
      <c r="C16" s="15" t="s">
        <v>54</v>
      </c>
      <c r="D16" s="15" t="s">
        <v>219</v>
      </c>
      <c r="E16" s="15" t="s">
        <v>159</v>
      </c>
      <c r="F16" s="15" t="n">
        <v>3</v>
      </c>
      <c r="G16" s="18" t="s">
        <v>141</v>
      </c>
      <c r="H16" s="15" t="s">
        <v>150</v>
      </c>
      <c r="I16" s="15" t="s">
        <v>220</v>
      </c>
      <c r="J16" s="17" t="s">
        <v>221</v>
      </c>
      <c r="K16" s="17" t="s">
        <v>222</v>
      </c>
      <c r="L16" s="17" t="s">
        <v>214</v>
      </c>
      <c r="M16" s="17" t="s">
        <v>223</v>
      </c>
      <c r="N16" s="17" t="s">
        <v>224</v>
      </c>
      <c r="O16" s="17" t="s">
        <v>225</v>
      </c>
      <c r="P16" s="17" t="s">
        <v>41</v>
      </c>
    </row>
    <row r="17" customFormat="false" ht="45.75" hidden="false" customHeight="true" outlineLevel="0" collapsed="false">
      <c r="A17" s="14" t="s">
        <v>226</v>
      </c>
      <c r="B17" s="15" t="s">
        <v>42</v>
      </c>
      <c r="C17" s="15" t="s">
        <v>54</v>
      </c>
      <c r="D17" s="15" t="s">
        <v>227</v>
      </c>
      <c r="E17" s="15" t="s">
        <v>159</v>
      </c>
      <c r="F17" s="15" t="n">
        <v>6</v>
      </c>
      <c r="G17" s="19" t="s">
        <v>45</v>
      </c>
      <c r="H17" s="15" t="s">
        <v>150</v>
      </c>
      <c r="I17" s="15" t="s">
        <v>228</v>
      </c>
      <c r="J17" s="17" t="s">
        <v>229</v>
      </c>
      <c r="K17" s="17" t="s">
        <v>230</v>
      </c>
      <c r="L17" s="17" t="s">
        <v>196</v>
      </c>
      <c r="M17" s="17" t="s">
        <v>231</v>
      </c>
      <c r="N17" s="17" t="s">
        <v>232</v>
      </c>
      <c r="O17" s="17" t="s">
        <v>233</v>
      </c>
      <c r="P17" s="17" t="s">
        <v>41</v>
      </c>
    </row>
    <row r="18" customFormat="false" ht="45.75" hidden="false" customHeight="true" outlineLevel="0" collapsed="false">
      <c r="A18" s="14" t="s">
        <v>234</v>
      </c>
      <c r="B18" s="15" t="s">
        <v>56</v>
      </c>
      <c r="C18" s="15" t="s">
        <v>57</v>
      </c>
      <c r="D18" s="15" t="s">
        <v>235</v>
      </c>
      <c r="E18" s="15" t="s">
        <v>122</v>
      </c>
      <c r="F18" s="15" t="n">
        <v>3</v>
      </c>
      <c r="G18" s="18" t="s">
        <v>141</v>
      </c>
      <c r="H18" s="15" t="s">
        <v>150</v>
      </c>
      <c r="I18" s="15" t="s">
        <v>236</v>
      </c>
      <c r="J18" s="17" t="s">
        <v>237</v>
      </c>
      <c r="K18" s="17" t="s">
        <v>238</v>
      </c>
      <c r="L18" s="17" t="s">
        <v>144</v>
      </c>
      <c r="M18" s="17" t="s">
        <v>239</v>
      </c>
      <c r="N18" s="17" t="s">
        <v>240</v>
      </c>
      <c r="O18" s="17" t="s">
        <v>241</v>
      </c>
      <c r="P18" s="17" t="s">
        <v>41</v>
      </c>
    </row>
    <row r="19" customFormat="false" ht="45.75" hidden="false" customHeight="true" outlineLevel="0" collapsed="false">
      <c r="A19" s="14" t="s">
        <v>242</v>
      </c>
      <c r="B19" s="15" t="s">
        <v>56</v>
      </c>
      <c r="C19" s="15" t="s">
        <v>57</v>
      </c>
      <c r="D19" s="15" t="s">
        <v>243</v>
      </c>
      <c r="E19" s="15" t="s">
        <v>159</v>
      </c>
      <c r="F19" s="15" t="n">
        <v>5</v>
      </c>
      <c r="G19" s="18" t="s">
        <v>141</v>
      </c>
      <c r="H19" s="15" t="s">
        <v>150</v>
      </c>
      <c r="I19" s="15" t="s">
        <v>236</v>
      </c>
      <c r="J19" s="17" t="s">
        <v>244</v>
      </c>
      <c r="K19" s="17" t="s">
        <v>245</v>
      </c>
      <c r="L19" s="17" t="s">
        <v>246</v>
      </c>
      <c r="M19" s="17" t="s">
        <v>247</v>
      </c>
      <c r="N19" s="17" t="s">
        <v>248</v>
      </c>
      <c r="O19" s="17" t="s">
        <v>249</v>
      </c>
      <c r="P19" s="17" t="s">
        <v>41</v>
      </c>
    </row>
    <row r="20" customFormat="false" ht="45.75" hidden="false" customHeight="true" outlineLevel="0" collapsed="false">
      <c r="A20" s="14" t="s">
        <v>250</v>
      </c>
      <c r="B20" s="15" t="s">
        <v>56</v>
      </c>
      <c r="C20" s="15" t="s">
        <v>57</v>
      </c>
      <c r="D20" s="15" t="s">
        <v>251</v>
      </c>
      <c r="E20" s="15" t="s">
        <v>169</v>
      </c>
      <c r="F20" s="15" t="n">
        <v>4</v>
      </c>
      <c r="G20" s="18" t="s">
        <v>141</v>
      </c>
      <c r="H20" s="21" t="s">
        <v>170</v>
      </c>
      <c r="I20" s="15" t="s">
        <v>236</v>
      </c>
      <c r="J20" s="17" t="s">
        <v>252</v>
      </c>
      <c r="K20" s="17" t="s">
        <v>253</v>
      </c>
      <c r="L20" s="17" t="s">
        <v>246</v>
      </c>
      <c r="M20" s="17" t="s">
        <v>254</v>
      </c>
      <c r="N20" s="17" t="s">
        <v>255</v>
      </c>
      <c r="O20" s="17" t="s">
        <v>256</v>
      </c>
      <c r="P20" s="17" t="s">
        <v>41</v>
      </c>
    </row>
    <row r="21" customFormat="false" ht="45.75" hidden="false" customHeight="true" outlineLevel="0" collapsed="false">
      <c r="A21" s="14" t="s">
        <v>257</v>
      </c>
      <c r="B21" s="15" t="s">
        <v>56</v>
      </c>
      <c r="C21" s="15" t="s">
        <v>60</v>
      </c>
      <c r="D21" s="15" t="s">
        <v>258</v>
      </c>
      <c r="E21" s="15" t="s">
        <v>122</v>
      </c>
      <c r="F21" s="15" t="n">
        <v>4</v>
      </c>
      <c r="G21" s="19" t="s">
        <v>45</v>
      </c>
      <c r="H21" s="15" t="s">
        <v>150</v>
      </c>
      <c r="I21" s="15" t="s">
        <v>259</v>
      </c>
      <c r="J21" s="17" t="s">
        <v>260</v>
      </c>
      <c r="K21" s="17" t="s">
        <v>261</v>
      </c>
      <c r="L21" s="17" t="s">
        <v>135</v>
      </c>
      <c r="M21" s="17" t="s">
        <v>262</v>
      </c>
      <c r="N21" s="17" t="s">
        <v>263</v>
      </c>
      <c r="O21" s="17" t="s">
        <v>264</v>
      </c>
      <c r="P21" s="17" t="s">
        <v>41</v>
      </c>
    </row>
    <row r="22" customFormat="false" ht="45.75" hidden="false" customHeight="true" outlineLevel="0" collapsed="false">
      <c r="A22" s="14" t="s">
        <v>265</v>
      </c>
      <c r="B22" s="15" t="s">
        <v>56</v>
      </c>
      <c r="C22" s="15" t="s">
        <v>60</v>
      </c>
      <c r="D22" s="15" t="s">
        <v>266</v>
      </c>
      <c r="E22" s="15" t="s">
        <v>159</v>
      </c>
      <c r="F22" s="15" t="n">
        <v>5</v>
      </c>
      <c r="G22" s="19" t="s">
        <v>45</v>
      </c>
      <c r="H22" s="15" t="s">
        <v>150</v>
      </c>
      <c r="I22" s="15" t="s">
        <v>267</v>
      </c>
      <c r="J22" s="17" t="s">
        <v>268</v>
      </c>
      <c r="K22" s="17" t="s">
        <v>269</v>
      </c>
      <c r="L22" s="17" t="s">
        <v>135</v>
      </c>
      <c r="M22" s="17" t="s">
        <v>270</v>
      </c>
      <c r="N22" s="17" t="s">
        <v>271</v>
      </c>
      <c r="O22" s="17" t="s">
        <v>272</v>
      </c>
      <c r="P22" s="17" t="s">
        <v>41</v>
      </c>
    </row>
    <row r="23" customFormat="false" ht="45.75" hidden="false" customHeight="true" outlineLevel="0" collapsed="false">
      <c r="A23" s="14" t="s">
        <v>273</v>
      </c>
      <c r="B23" s="15" t="s">
        <v>56</v>
      </c>
      <c r="C23" s="15" t="s">
        <v>60</v>
      </c>
      <c r="D23" s="15" t="s">
        <v>274</v>
      </c>
      <c r="E23" s="15" t="s">
        <v>169</v>
      </c>
      <c r="F23" s="15" t="n">
        <v>7</v>
      </c>
      <c r="G23" s="19" t="s">
        <v>45</v>
      </c>
      <c r="H23" s="21" t="s">
        <v>170</v>
      </c>
      <c r="I23" s="15" t="s">
        <v>267</v>
      </c>
      <c r="J23" s="17" t="s">
        <v>275</v>
      </c>
      <c r="K23" s="17" t="s">
        <v>269</v>
      </c>
      <c r="L23" s="17" t="s">
        <v>135</v>
      </c>
      <c r="M23" s="17" t="s">
        <v>276</v>
      </c>
      <c r="N23" s="17" t="s">
        <v>277</v>
      </c>
      <c r="O23" s="17" t="s">
        <v>278</v>
      </c>
      <c r="P23" s="17" t="s">
        <v>41</v>
      </c>
    </row>
    <row r="24" customFormat="false" ht="45.75" hidden="false" customHeight="true" outlineLevel="0" collapsed="false">
      <c r="A24" s="14" t="s">
        <v>279</v>
      </c>
      <c r="B24" s="15" t="s">
        <v>56</v>
      </c>
      <c r="C24" s="15" t="s">
        <v>62</v>
      </c>
      <c r="D24" s="15" t="s">
        <v>280</v>
      </c>
      <c r="E24" s="15" t="s">
        <v>159</v>
      </c>
      <c r="F24" s="15" t="n">
        <v>5</v>
      </c>
      <c r="G24" s="19" t="s">
        <v>45</v>
      </c>
      <c r="H24" s="15" t="s">
        <v>160</v>
      </c>
      <c r="I24" s="15" t="s">
        <v>281</v>
      </c>
      <c r="J24" s="17" t="s">
        <v>282</v>
      </c>
      <c r="K24" s="17" t="s">
        <v>283</v>
      </c>
      <c r="L24" s="17" t="s">
        <v>246</v>
      </c>
      <c r="M24" s="17" t="s">
        <v>284</v>
      </c>
      <c r="N24" s="17" t="s">
        <v>285</v>
      </c>
      <c r="O24" s="17" t="s">
        <v>286</v>
      </c>
      <c r="P24" s="17" t="s">
        <v>41</v>
      </c>
    </row>
    <row r="25" customFormat="false" ht="45.75" hidden="false" customHeight="true" outlineLevel="0" collapsed="false">
      <c r="A25" s="14" t="s">
        <v>287</v>
      </c>
      <c r="B25" s="15" t="s">
        <v>56</v>
      </c>
      <c r="C25" s="15" t="s">
        <v>62</v>
      </c>
      <c r="D25" s="15" t="s">
        <v>288</v>
      </c>
      <c r="E25" s="15" t="s">
        <v>159</v>
      </c>
      <c r="F25" s="15" t="n">
        <v>5</v>
      </c>
      <c r="G25" s="19" t="s">
        <v>45</v>
      </c>
      <c r="H25" s="15" t="s">
        <v>160</v>
      </c>
      <c r="I25" s="15" t="s">
        <v>281</v>
      </c>
      <c r="J25" s="17" t="s">
        <v>289</v>
      </c>
      <c r="K25" s="17" t="s">
        <v>290</v>
      </c>
      <c r="L25" s="17" t="s">
        <v>246</v>
      </c>
      <c r="M25" s="17" t="s">
        <v>291</v>
      </c>
      <c r="N25" s="17" t="s">
        <v>285</v>
      </c>
      <c r="O25" s="17" t="s">
        <v>286</v>
      </c>
      <c r="P25" s="17" t="s">
        <v>41</v>
      </c>
    </row>
    <row r="26" customFormat="false" ht="45.75" hidden="false" customHeight="true" outlineLevel="0" collapsed="false">
      <c r="A26" s="14" t="s">
        <v>292</v>
      </c>
      <c r="B26" s="15" t="s">
        <v>56</v>
      </c>
      <c r="C26" s="15" t="s">
        <v>62</v>
      </c>
      <c r="D26" s="15" t="s">
        <v>293</v>
      </c>
      <c r="E26" s="15" t="s">
        <v>169</v>
      </c>
      <c r="F26" s="15" t="n">
        <v>4</v>
      </c>
      <c r="G26" s="19" t="s">
        <v>45</v>
      </c>
      <c r="H26" s="21" t="s">
        <v>170</v>
      </c>
      <c r="I26" s="15" t="s">
        <v>281</v>
      </c>
      <c r="J26" s="17" t="s">
        <v>294</v>
      </c>
      <c r="K26" s="17" t="s">
        <v>295</v>
      </c>
      <c r="L26" s="17" t="s">
        <v>214</v>
      </c>
      <c r="M26" s="17" t="s">
        <v>296</v>
      </c>
      <c r="N26" s="17" t="s">
        <v>198</v>
      </c>
      <c r="O26" s="17" t="s">
        <v>297</v>
      </c>
      <c r="P26" s="17" t="s">
        <v>41</v>
      </c>
    </row>
    <row r="27" customFormat="false" ht="45.75" hidden="false" customHeight="true" outlineLevel="0" collapsed="false">
      <c r="A27" s="14" t="s">
        <v>298</v>
      </c>
      <c r="B27" s="15" t="s">
        <v>56</v>
      </c>
      <c r="C27" s="15" t="s">
        <v>64</v>
      </c>
      <c r="D27" s="15" t="s">
        <v>299</v>
      </c>
      <c r="E27" s="15" t="s">
        <v>159</v>
      </c>
      <c r="F27" s="15" t="n">
        <v>5</v>
      </c>
      <c r="G27" s="18" t="s">
        <v>141</v>
      </c>
      <c r="H27" s="15" t="s">
        <v>150</v>
      </c>
      <c r="I27" s="15" t="s">
        <v>300</v>
      </c>
      <c r="J27" s="17" t="s">
        <v>301</v>
      </c>
      <c r="K27" s="17" t="s">
        <v>302</v>
      </c>
      <c r="L27" s="17" t="s">
        <v>205</v>
      </c>
      <c r="M27" s="17" t="s">
        <v>303</v>
      </c>
      <c r="N27" s="17" t="s">
        <v>304</v>
      </c>
      <c r="O27" s="17" t="s">
        <v>305</v>
      </c>
      <c r="P27" s="17" t="s">
        <v>41</v>
      </c>
    </row>
    <row r="28" customFormat="false" ht="45.75" hidden="false" customHeight="true" outlineLevel="0" collapsed="false">
      <c r="A28" s="14" t="s">
        <v>306</v>
      </c>
      <c r="B28" s="15" t="s">
        <v>56</v>
      </c>
      <c r="C28" s="15" t="s">
        <v>64</v>
      </c>
      <c r="D28" s="15" t="s">
        <v>307</v>
      </c>
      <c r="E28" s="15" t="s">
        <v>159</v>
      </c>
      <c r="F28" s="15" t="n">
        <v>4</v>
      </c>
      <c r="G28" s="18" t="s">
        <v>141</v>
      </c>
      <c r="H28" s="15" t="s">
        <v>160</v>
      </c>
      <c r="I28" s="15" t="s">
        <v>300</v>
      </c>
      <c r="J28" s="17" t="s">
        <v>308</v>
      </c>
      <c r="K28" s="17" t="s">
        <v>309</v>
      </c>
      <c r="L28" s="17" t="s">
        <v>246</v>
      </c>
      <c r="M28" s="17" t="s">
        <v>310</v>
      </c>
      <c r="N28" s="17" t="s">
        <v>311</v>
      </c>
      <c r="O28" s="17" t="s">
        <v>312</v>
      </c>
      <c r="P28" s="17" t="s">
        <v>41</v>
      </c>
    </row>
    <row r="29" customFormat="false" ht="45.75" hidden="false" customHeight="true" outlineLevel="0" collapsed="false">
      <c r="A29" s="14" t="s">
        <v>313</v>
      </c>
      <c r="B29" s="15" t="s">
        <v>56</v>
      </c>
      <c r="C29" s="15" t="s">
        <v>64</v>
      </c>
      <c r="D29" s="15" t="s">
        <v>314</v>
      </c>
      <c r="E29" s="15" t="s">
        <v>169</v>
      </c>
      <c r="F29" s="15" t="n">
        <v>4</v>
      </c>
      <c r="G29" s="18" t="s">
        <v>141</v>
      </c>
      <c r="H29" s="21" t="s">
        <v>170</v>
      </c>
      <c r="I29" s="15" t="s">
        <v>300</v>
      </c>
      <c r="J29" s="17" t="s">
        <v>315</v>
      </c>
      <c r="K29" s="17" t="s">
        <v>316</v>
      </c>
      <c r="L29" s="17" t="s">
        <v>246</v>
      </c>
      <c r="M29" s="17" t="s">
        <v>317</v>
      </c>
      <c r="N29" s="17" t="s">
        <v>304</v>
      </c>
      <c r="O29" s="17" t="s">
        <v>318</v>
      </c>
      <c r="P29" s="17" t="s">
        <v>41</v>
      </c>
    </row>
    <row r="30" customFormat="false" ht="45.75" hidden="false" customHeight="true" outlineLevel="0" collapsed="false">
      <c r="A30" s="14" t="s">
        <v>319</v>
      </c>
      <c r="B30" s="15" t="s">
        <v>56</v>
      </c>
      <c r="C30" s="15" t="s">
        <v>66</v>
      </c>
      <c r="D30" s="15" t="s">
        <v>320</v>
      </c>
      <c r="E30" s="15" t="s">
        <v>159</v>
      </c>
      <c r="F30" s="15" t="n">
        <v>6</v>
      </c>
      <c r="G30" s="18" t="s">
        <v>141</v>
      </c>
      <c r="H30" s="15" t="s">
        <v>160</v>
      </c>
      <c r="I30" s="15" t="s">
        <v>321</v>
      </c>
      <c r="J30" s="17" t="s">
        <v>322</v>
      </c>
      <c r="K30" s="17" t="s">
        <v>323</v>
      </c>
      <c r="L30" s="17" t="s">
        <v>324</v>
      </c>
      <c r="M30" s="17" t="s">
        <v>325</v>
      </c>
      <c r="N30" s="17" t="s">
        <v>326</v>
      </c>
      <c r="O30" s="17" t="s">
        <v>327</v>
      </c>
      <c r="P30" s="17" t="s">
        <v>41</v>
      </c>
    </row>
    <row r="31" customFormat="false" ht="45.75" hidden="false" customHeight="true" outlineLevel="0" collapsed="false">
      <c r="A31" s="14" t="s">
        <v>328</v>
      </c>
      <c r="B31" s="15" t="s">
        <v>56</v>
      </c>
      <c r="C31" s="15" t="s">
        <v>66</v>
      </c>
      <c r="D31" s="15" t="s">
        <v>329</v>
      </c>
      <c r="E31" s="15" t="s">
        <v>169</v>
      </c>
      <c r="F31" s="15" t="n">
        <v>5</v>
      </c>
      <c r="G31" s="18" t="s">
        <v>141</v>
      </c>
      <c r="H31" s="21" t="s">
        <v>170</v>
      </c>
      <c r="I31" s="15" t="s">
        <v>321</v>
      </c>
      <c r="J31" s="17" t="s">
        <v>330</v>
      </c>
      <c r="K31" s="17" t="s">
        <v>331</v>
      </c>
      <c r="L31" s="17" t="s">
        <v>246</v>
      </c>
      <c r="M31" s="17" t="s">
        <v>332</v>
      </c>
      <c r="N31" s="17" t="s">
        <v>224</v>
      </c>
      <c r="O31" s="17" t="s">
        <v>333</v>
      </c>
      <c r="P31" s="17" t="s">
        <v>41</v>
      </c>
    </row>
    <row r="32" customFormat="false" ht="45.75" hidden="false" customHeight="true" outlineLevel="0" collapsed="false">
      <c r="A32" s="14" t="s">
        <v>334</v>
      </c>
      <c r="B32" s="15" t="s">
        <v>56</v>
      </c>
      <c r="C32" s="15" t="s">
        <v>66</v>
      </c>
      <c r="D32" s="15" t="s">
        <v>335</v>
      </c>
      <c r="E32" s="15" t="s">
        <v>169</v>
      </c>
      <c r="F32" s="15" t="n">
        <v>3</v>
      </c>
      <c r="G32" s="19" t="s">
        <v>45</v>
      </c>
      <c r="H32" s="21" t="s">
        <v>170</v>
      </c>
      <c r="I32" s="15" t="s">
        <v>336</v>
      </c>
      <c r="J32" s="17" t="s">
        <v>337</v>
      </c>
      <c r="K32" s="17" t="s">
        <v>338</v>
      </c>
      <c r="L32" s="17" t="s">
        <v>214</v>
      </c>
      <c r="M32" s="17" t="s">
        <v>339</v>
      </c>
      <c r="N32" s="17" t="s">
        <v>176</v>
      </c>
      <c r="O32" s="17" t="s">
        <v>340</v>
      </c>
      <c r="P32" s="17" t="s">
        <v>41</v>
      </c>
    </row>
    <row r="33" customFormat="false" ht="45.75" hidden="false" customHeight="true" outlineLevel="0" collapsed="false">
      <c r="A33" s="14" t="s">
        <v>341</v>
      </c>
      <c r="B33" s="15" t="s">
        <v>68</v>
      </c>
      <c r="C33" s="15" t="s">
        <v>69</v>
      </c>
      <c r="D33" s="15" t="s">
        <v>342</v>
      </c>
      <c r="E33" s="15" t="s">
        <v>159</v>
      </c>
      <c r="F33" s="15" t="n">
        <v>5</v>
      </c>
      <c r="G33" s="16" t="s">
        <v>123</v>
      </c>
      <c r="H33" s="15" t="s">
        <v>150</v>
      </c>
      <c r="I33" s="15" t="s">
        <v>343</v>
      </c>
      <c r="J33" s="17" t="s">
        <v>344</v>
      </c>
      <c r="K33" s="17" t="s">
        <v>345</v>
      </c>
      <c r="L33" s="17" t="s">
        <v>246</v>
      </c>
      <c r="M33" s="17" t="s">
        <v>346</v>
      </c>
      <c r="N33" s="17" t="s">
        <v>347</v>
      </c>
      <c r="O33" s="17" t="s">
        <v>348</v>
      </c>
      <c r="P33" s="17" t="s">
        <v>41</v>
      </c>
    </row>
    <row r="34" customFormat="false" ht="45.75" hidden="false" customHeight="true" outlineLevel="0" collapsed="false">
      <c r="A34" s="14" t="s">
        <v>349</v>
      </c>
      <c r="B34" s="15" t="s">
        <v>68</v>
      </c>
      <c r="C34" s="15" t="s">
        <v>69</v>
      </c>
      <c r="D34" s="15" t="s">
        <v>350</v>
      </c>
      <c r="E34" s="15" t="s">
        <v>159</v>
      </c>
      <c r="F34" s="15" t="n">
        <v>4</v>
      </c>
      <c r="G34" s="16" t="s">
        <v>123</v>
      </c>
      <c r="H34" s="15" t="s">
        <v>150</v>
      </c>
      <c r="I34" s="15" t="s">
        <v>351</v>
      </c>
      <c r="J34" s="17" t="s">
        <v>352</v>
      </c>
      <c r="K34" s="17" t="s">
        <v>353</v>
      </c>
      <c r="L34" s="17" t="s">
        <v>205</v>
      </c>
      <c r="M34" s="17" t="s">
        <v>354</v>
      </c>
      <c r="N34" s="17" t="s">
        <v>355</v>
      </c>
      <c r="O34" s="17" t="s">
        <v>356</v>
      </c>
      <c r="P34" s="17" t="s">
        <v>41</v>
      </c>
    </row>
    <row r="35" customFormat="false" ht="45.75" hidden="false" customHeight="true" outlineLevel="0" collapsed="false">
      <c r="A35" s="14" t="s">
        <v>357</v>
      </c>
      <c r="B35" s="15" t="s">
        <v>68</v>
      </c>
      <c r="C35" s="15" t="s">
        <v>69</v>
      </c>
      <c r="D35" s="15" t="s">
        <v>358</v>
      </c>
      <c r="E35" s="15" t="s">
        <v>169</v>
      </c>
      <c r="F35" s="15" t="n">
        <v>4</v>
      </c>
      <c r="G35" s="16" t="s">
        <v>123</v>
      </c>
      <c r="H35" s="21" t="s">
        <v>170</v>
      </c>
      <c r="I35" s="15" t="s">
        <v>359</v>
      </c>
      <c r="J35" s="17" t="s">
        <v>360</v>
      </c>
      <c r="K35" s="17" t="s">
        <v>361</v>
      </c>
      <c r="L35" s="17" t="s">
        <v>246</v>
      </c>
      <c r="M35" s="17" t="s">
        <v>317</v>
      </c>
      <c r="N35" s="17" t="s">
        <v>362</v>
      </c>
      <c r="O35" s="17" t="s">
        <v>363</v>
      </c>
      <c r="P35" s="17" t="s">
        <v>41</v>
      </c>
    </row>
    <row r="36" customFormat="false" ht="45.75" hidden="false" customHeight="true" outlineLevel="0" collapsed="false">
      <c r="A36" s="14" t="s">
        <v>364</v>
      </c>
      <c r="B36" s="15" t="s">
        <v>68</v>
      </c>
      <c r="C36" s="15" t="s">
        <v>73</v>
      </c>
      <c r="D36" s="15" t="s">
        <v>365</v>
      </c>
      <c r="E36" s="15" t="s">
        <v>159</v>
      </c>
      <c r="F36" s="15" t="n">
        <v>5</v>
      </c>
      <c r="G36" s="16" t="s">
        <v>123</v>
      </c>
      <c r="H36" s="15" t="s">
        <v>150</v>
      </c>
      <c r="I36" s="15" t="s">
        <v>366</v>
      </c>
      <c r="J36" s="17" t="s">
        <v>367</v>
      </c>
      <c r="K36" s="17" t="s">
        <v>368</v>
      </c>
      <c r="L36" s="17" t="s">
        <v>205</v>
      </c>
      <c r="M36" s="17" t="s">
        <v>369</v>
      </c>
      <c r="N36" s="17" t="s">
        <v>370</v>
      </c>
      <c r="O36" s="17" t="s">
        <v>371</v>
      </c>
      <c r="P36" s="17" t="s">
        <v>41</v>
      </c>
    </row>
    <row r="37" customFormat="false" ht="45.75" hidden="false" customHeight="true" outlineLevel="0" collapsed="false">
      <c r="A37" s="14" t="s">
        <v>372</v>
      </c>
      <c r="B37" s="15" t="s">
        <v>68</v>
      </c>
      <c r="C37" s="15" t="s">
        <v>73</v>
      </c>
      <c r="D37" s="15" t="s">
        <v>373</v>
      </c>
      <c r="E37" s="15" t="s">
        <v>159</v>
      </c>
      <c r="F37" s="15" t="n">
        <v>5</v>
      </c>
      <c r="G37" s="16" t="s">
        <v>123</v>
      </c>
      <c r="H37" s="15" t="s">
        <v>160</v>
      </c>
      <c r="I37" s="15" t="s">
        <v>374</v>
      </c>
      <c r="J37" s="17" t="s">
        <v>375</v>
      </c>
      <c r="K37" s="17" t="s">
        <v>376</v>
      </c>
      <c r="L37" s="17" t="s">
        <v>205</v>
      </c>
      <c r="M37" s="17" t="s">
        <v>377</v>
      </c>
      <c r="N37" s="17" t="s">
        <v>378</v>
      </c>
      <c r="O37" s="17" t="s">
        <v>379</v>
      </c>
      <c r="P37" s="17" t="s">
        <v>41</v>
      </c>
    </row>
    <row r="38" customFormat="false" ht="45.75" hidden="false" customHeight="true" outlineLevel="0" collapsed="false">
      <c r="A38" s="14" t="s">
        <v>380</v>
      </c>
      <c r="B38" s="15" t="s">
        <v>68</v>
      </c>
      <c r="C38" s="15" t="s">
        <v>73</v>
      </c>
      <c r="D38" s="15" t="s">
        <v>381</v>
      </c>
      <c r="E38" s="15" t="s">
        <v>169</v>
      </c>
      <c r="F38" s="15" t="n">
        <v>5</v>
      </c>
      <c r="G38" s="16" t="s">
        <v>123</v>
      </c>
      <c r="H38" s="21" t="s">
        <v>170</v>
      </c>
      <c r="I38" s="15" t="s">
        <v>382</v>
      </c>
      <c r="J38" s="17" t="s">
        <v>383</v>
      </c>
      <c r="K38" s="17" t="s">
        <v>384</v>
      </c>
      <c r="L38" s="17" t="s">
        <v>205</v>
      </c>
      <c r="M38" s="17" t="s">
        <v>317</v>
      </c>
      <c r="N38" s="17" t="s">
        <v>385</v>
      </c>
      <c r="O38" s="17" t="s">
        <v>386</v>
      </c>
      <c r="P38" s="17" t="s">
        <v>41</v>
      </c>
    </row>
    <row r="39" customFormat="false" ht="45.75" hidden="false" customHeight="true" outlineLevel="0" collapsed="false">
      <c r="A39" s="14" t="s">
        <v>387</v>
      </c>
      <c r="B39" s="15" t="s">
        <v>68</v>
      </c>
      <c r="C39" s="15" t="s">
        <v>73</v>
      </c>
      <c r="D39" s="15" t="s">
        <v>388</v>
      </c>
      <c r="E39" s="15" t="s">
        <v>169</v>
      </c>
      <c r="F39" s="15" t="n">
        <v>3</v>
      </c>
      <c r="G39" s="19" t="s">
        <v>45</v>
      </c>
      <c r="H39" s="21" t="s">
        <v>170</v>
      </c>
      <c r="I39" s="15" t="s">
        <v>389</v>
      </c>
      <c r="J39" s="17" t="s">
        <v>390</v>
      </c>
      <c r="K39" s="17" t="s">
        <v>391</v>
      </c>
      <c r="L39" s="17" t="s">
        <v>214</v>
      </c>
      <c r="M39" s="17" t="s">
        <v>392</v>
      </c>
      <c r="N39" s="17" t="s">
        <v>198</v>
      </c>
      <c r="O39" s="17" t="s">
        <v>393</v>
      </c>
      <c r="P39" s="17" t="s">
        <v>41</v>
      </c>
    </row>
    <row r="40" customFormat="false" ht="45.75" hidden="false" customHeight="true" outlineLevel="0" collapsed="false">
      <c r="A40" s="14" t="s">
        <v>394</v>
      </c>
      <c r="B40" s="15" t="s">
        <v>68</v>
      </c>
      <c r="C40" s="15" t="s">
        <v>75</v>
      </c>
      <c r="D40" s="15" t="s">
        <v>395</v>
      </c>
      <c r="E40" s="15" t="s">
        <v>122</v>
      </c>
      <c r="F40" s="15" t="n">
        <v>6</v>
      </c>
      <c r="G40" s="16" t="s">
        <v>123</v>
      </c>
      <c r="H40" s="15" t="s">
        <v>150</v>
      </c>
      <c r="I40" s="15" t="s">
        <v>396</v>
      </c>
      <c r="J40" s="17" t="s">
        <v>397</v>
      </c>
      <c r="K40" s="17" t="s">
        <v>398</v>
      </c>
      <c r="L40" s="17" t="s">
        <v>399</v>
      </c>
      <c r="M40" s="17" t="s">
        <v>400</v>
      </c>
      <c r="N40" s="17" t="s">
        <v>401</v>
      </c>
      <c r="O40" s="17" t="s">
        <v>402</v>
      </c>
      <c r="P40" s="17" t="s">
        <v>41</v>
      </c>
    </row>
    <row r="41" customFormat="false" ht="45.75" hidden="false" customHeight="true" outlineLevel="0" collapsed="false">
      <c r="A41" s="14" t="s">
        <v>403</v>
      </c>
      <c r="B41" s="15" t="s">
        <v>68</v>
      </c>
      <c r="C41" s="15" t="s">
        <v>75</v>
      </c>
      <c r="D41" s="15" t="s">
        <v>404</v>
      </c>
      <c r="E41" s="15" t="s">
        <v>159</v>
      </c>
      <c r="F41" s="15" t="n">
        <v>5</v>
      </c>
      <c r="G41" s="18" t="s">
        <v>141</v>
      </c>
      <c r="H41" s="15" t="s">
        <v>150</v>
      </c>
      <c r="I41" s="15" t="s">
        <v>405</v>
      </c>
      <c r="J41" s="17" t="s">
        <v>406</v>
      </c>
      <c r="K41" s="17" t="s">
        <v>407</v>
      </c>
      <c r="L41" s="17" t="s">
        <v>205</v>
      </c>
      <c r="M41" s="17" t="s">
        <v>408</v>
      </c>
      <c r="N41" s="17" t="s">
        <v>409</v>
      </c>
      <c r="O41" s="17" t="s">
        <v>410</v>
      </c>
      <c r="P41" s="17" t="s">
        <v>41</v>
      </c>
    </row>
    <row r="42" customFormat="false" ht="45.75" hidden="false" customHeight="true" outlineLevel="0" collapsed="false">
      <c r="A42" s="14" t="s">
        <v>411</v>
      </c>
      <c r="B42" s="15" t="s">
        <v>68</v>
      </c>
      <c r="C42" s="15" t="s">
        <v>75</v>
      </c>
      <c r="D42" s="15" t="s">
        <v>412</v>
      </c>
      <c r="E42" s="15" t="s">
        <v>169</v>
      </c>
      <c r="F42" s="15" t="n">
        <v>4</v>
      </c>
      <c r="G42" s="18" t="s">
        <v>141</v>
      </c>
      <c r="H42" s="21" t="s">
        <v>170</v>
      </c>
      <c r="I42" s="15" t="s">
        <v>405</v>
      </c>
      <c r="J42" s="17" t="s">
        <v>413</v>
      </c>
      <c r="K42" s="17" t="s">
        <v>414</v>
      </c>
      <c r="L42" s="17" t="s">
        <v>205</v>
      </c>
      <c r="M42" s="17" t="s">
        <v>317</v>
      </c>
      <c r="N42" s="17" t="s">
        <v>409</v>
      </c>
      <c r="O42" s="17" t="s">
        <v>415</v>
      </c>
      <c r="P42" s="17" t="s">
        <v>41</v>
      </c>
    </row>
    <row r="43" customFormat="false" ht="45.75" hidden="false" customHeight="true" outlineLevel="0" collapsed="false">
      <c r="A43" s="14" t="s">
        <v>416</v>
      </c>
      <c r="B43" s="15" t="s">
        <v>68</v>
      </c>
      <c r="C43" s="15" t="s">
        <v>79</v>
      </c>
      <c r="D43" s="15" t="s">
        <v>417</v>
      </c>
      <c r="E43" s="15" t="s">
        <v>159</v>
      </c>
      <c r="F43" s="15" t="n">
        <v>6</v>
      </c>
      <c r="G43" s="16" t="s">
        <v>123</v>
      </c>
      <c r="H43" s="15" t="s">
        <v>150</v>
      </c>
      <c r="I43" s="15" t="s">
        <v>418</v>
      </c>
      <c r="J43" s="17" t="s">
        <v>419</v>
      </c>
      <c r="K43" s="17" t="s">
        <v>420</v>
      </c>
      <c r="L43" s="17" t="s">
        <v>214</v>
      </c>
      <c r="M43" s="17" t="s">
        <v>421</v>
      </c>
      <c r="N43" s="17" t="s">
        <v>422</v>
      </c>
      <c r="O43" s="17" t="s">
        <v>423</v>
      </c>
      <c r="P43" s="17" t="s">
        <v>41</v>
      </c>
    </row>
    <row r="44" customFormat="false" ht="45.75" hidden="false" customHeight="true" outlineLevel="0" collapsed="false">
      <c r="A44" s="14" t="s">
        <v>424</v>
      </c>
      <c r="B44" s="15" t="s">
        <v>68</v>
      </c>
      <c r="C44" s="15" t="s">
        <v>79</v>
      </c>
      <c r="D44" s="15" t="s">
        <v>425</v>
      </c>
      <c r="E44" s="15" t="s">
        <v>159</v>
      </c>
      <c r="F44" s="15" t="n">
        <v>6</v>
      </c>
      <c r="G44" s="16" t="s">
        <v>123</v>
      </c>
      <c r="H44" s="15" t="s">
        <v>160</v>
      </c>
      <c r="I44" s="15" t="s">
        <v>418</v>
      </c>
      <c r="J44" s="17" t="s">
        <v>426</v>
      </c>
      <c r="K44" s="17" t="s">
        <v>427</v>
      </c>
      <c r="L44" s="17" t="s">
        <v>214</v>
      </c>
      <c r="M44" s="17" t="s">
        <v>428</v>
      </c>
      <c r="N44" s="17" t="s">
        <v>422</v>
      </c>
      <c r="O44" s="17" t="s">
        <v>423</v>
      </c>
      <c r="P44" s="17" t="s">
        <v>41</v>
      </c>
    </row>
    <row r="45" customFormat="false" ht="45.75" hidden="false" customHeight="true" outlineLevel="0" collapsed="false">
      <c r="A45" s="14" t="s">
        <v>429</v>
      </c>
      <c r="B45" s="15" t="s">
        <v>68</v>
      </c>
      <c r="C45" s="15" t="s">
        <v>79</v>
      </c>
      <c r="D45" s="15" t="s">
        <v>430</v>
      </c>
      <c r="E45" s="15" t="s">
        <v>159</v>
      </c>
      <c r="F45" s="15" t="n">
        <v>6</v>
      </c>
      <c r="G45" s="18" t="s">
        <v>141</v>
      </c>
      <c r="H45" s="15" t="s">
        <v>431</v>
      </c>
      <c r="I45" s="15" t="s">
        <v>418</v>
      </c>
      <c r="J45" s="17" t="s">
        <v>432</v>
      </c>
      <c r="K45" s="17" t="s">
        <v>433</v>
      </c>
      <c r="L45" s="17" t="s">
        <v>214</v>
      </c>
      <c r="M45" s="17" t="s">
        <v>434</v>
      </c>
      <c r="N45" s="17" t="s">
        <v>435</v>
      </c>
      <c r="O45" s="17" t="s">
        <v>436</v>
      </c>
      <c r="P45" s="17" t="s">
        <v>41</v>
      </c>
    </row>
    <row r="46" customFormat="false" ht="45.75" hidden="false" customHeight="true" outlineLevel="0" collapsed="false">
      <c r="A46" s="14" t="s">
        <v>437</v>
      </c>
      <c r="B46" s="15" t="s">
        <v>68</v>
      </c>
      <c r="C46" s="15" t="s">
        <v>79</v>
      </c>
      <c r="D46" s="15" t="s">
        <v>438</v>
      </c>
      <c r="E46" s="15" t="s">
        <v>169</v>
      </c>
      <c r="F46" s="15" t="n">
        <v>8</v>
      </c>
      <c r="G46" s="16" t="s">
        <v>123</v>
      </c>
      <c r="H46" s="21" t="s">
        <v>170</v>
      </c>
      <c r="I46" s="15" t="s">
        <v>439</v>
      </c>
      <c r="J46" s="17" t="s">
        <v>440</v>
      </c>
      <c r="K46" s="17" t="s">
        <v>441</v>
      </c>
      <c r="L46" s="17" t="s">
        <v>246</v>
      </c>
      <c r="M46" s="17" t="s">
        <v>442</v>
      </c>
      <c r="N46" s="17" t="s">
        <v>422</v>
      </c>
      <c r="O46" s="17" t="s">
        <v>443</v>
      </c>
      <c r="P46" s="17" t="s">
        <v>41</v>
      </c>
    </row>
    <row r="47" customFormat="false" ht="45.75" hidden="false" customHeight="true" outlineLevel="0" collapsed="false">
      <c r="A47" s="14" t="s">
        <v>444</v>
      </c>
      <c r="B47" s="15" t="s">
        <v>68</v>
      </c>
      <c r="C47" s="15" t="s">
        <v>82</v>
      </c>
      <c r="D47" s="15" t="s">
        <v>445</v>
      </c>
      <c r="E47" s="15" t="s">
        <v>159</v>
      </c>
      <c r="F47" s="15" t="n">
        <v>4</v>
      </c>
      <c r="G47" s="16" t="s">
        <v>123</v>
      </c>
      <c r="H47" s="15" t="s">
        <v>150</v>
      </c>
      <c r="I47" s="15" t="s">
        <v>446</v>
      </c>
      <c r="J47" s="17" t="s">
        <v>447</v>
      </c>
      <c r="K47" s="17" t="s">
        <v>448</v>
      </c>
      <c r="L47" s="17" t="s">
        <v>174</v>
      </c>
      <c r="M47" s="17" t="s">
        <v>449</v>
      </c>
      <c r="N47" s="17" t="s">
        <v>422</v>
      </c>
      <c r="O47" s="17" t="s">
        <v>450</v>
      </c>
      <c r="P47" s="17" t="s">
        <v>41</v>
      </c>
    </row>
    <row r="48" customFormat="false" ht="45.75" hidden="false" customHeight="true" outlineLevel="0" collapsed="false">
      <c r="A48" s="14" t="s">
        <v>451</v>
      </c>
      <c r="B48" s="15" t="s">
        <v>68</v>
      </c>
      <c r="C48" s="15" t="s">
        <v>82</v>
      </c>
      <c r="D48" s="15" t="s">
        <v>452</v>
      </c>
      <c r="E48" s="15" t="s">
        <v>453</v>
      </c>
      <c r="F48" s="15" t="n">
        <v>4</v>
      </c>
      <c r="G48" s="18" t="s">
        <v>141</v>
      </c>
      <c r="H48" s="15" t="s">
        <v>124</v>
      </c>
      <c r="I48" s="15" t="s">
        <v>454</v>
      </c>
      <c r="J48" s="17" t="s">
        <v>455</v>
      </c>
      <c r="K48" s="17" t="s">
        <v>456</v>
      </c>
      <c r="L48" s="17" t="s">
        <v>214</v>
      </c>
      <c r="M48" s="17" t="s">
        <v>457</v>
      </c>
      <c r="N48" s="17" t="s">
        <v>458</v>
      </c>
      <c r="O48" s="17" t="s">
        <v>459</v>
      </c>
      <c r="P48" s="17" t="s">
        <v>41</v>
      </c>
    </row>
    <row r="49" customFormat="false" ht="45.75" hidden="false" customHeight="true" outlineLevel="0" collapsed="false">
      <c r="A49" s="14" t="s">
        <v>460</v>
      </c>
      <c r="B49" s="15" t="s">
        <v>68</v>
      </c>
      <c r="C49" s="15" t="s">
        <v>85</v>
      </c>
      <c r="D49" s="15" t="s">
        <v>461</v>
      </c>
      <c r="E49" s="15" t="s">
        <v>159</v>
      </c>
      <c r="F49" s="15" t="n">
        <v>6</v>
      </c>
      <c r="G49" s="16" t="s">
        <v>123</v>
      </c>
      <c r="H49" s="15" t="s">
        <v>160</v>
      </c>
      <c r="I49" s="15" t="s">
        <v>462</v>
      </c>
      <c r="J49" s="17" t="s">
        <v>463</v>
      </c>
      <c r="K49" s="17" t="s">
        <v>464</v>
      </c>
      <c r="L49" s="17" t="s">
        <v>246</v>
      </c>
      <c r="M49" s="17" t="s">
        <v>465</v>
      </c>
      <c r="N49" s="17" t="s">
        <v>285</v>
      </c>
      <c r="O49" s="17" t="s">
        <v>466</v>
      </c>
      <c r="P49" s="20" t="s">
        <v>47</v>
      </c>
    </row>
    <row r="50" customFormat="false" ht="45.75" hidden="false" customHeight="true" outlineLevel="0" collapsed="false">
      <c r="A50" s="14" t="s">
        <v>467</v>
      </c>
      <c r="B50" s="15" t="s">
        <v>68</v>
      </c>
      <c r="C50" s="15" t="s">
        <v>85</v>
      </c>
      <c r="D50" s="15" t="s">
        <v>468</v>
      </c>
      <c r="E50" s="15" t="s">
        <v>159</v>
      </c>
      <c r="F50" s="15" t="n">
        <v>6</v>
      </c>
      <c r="G50" s="16" t="s">
        <v>123</v>
      </c>
      <c r="H50" s="15" t="s">
        <v>150</v>
      </c>
      <c r="I50" s="15" t="s">
        <v>469</v>
      </c>
      <c r="J50" s="17" t="s">
        <v>470</v>
      </c>
      <c r="K50" s="17" t="s">
        <v>471</v>
      </c>
      <c r="L50" s="17" t="s">
        <v>214</v>
      </c>
      <c r="M50" s="17" t="s">
        <v>472</v>
      </c>
      <c r="N50" s="17" t="s">
        <v>285</v>
      </c>
      <c r="O50" s="17" t="s">
        <v>473</v>
      </c>
      <c r="P50" s="20" t="s">
        <v>47</v>
      </c>
    </row>
    <row r="51" customFormat="false" ht="45.75" hidden="false" customHeight="true" outlineLevel="0" collapsed="false">
      <c r="A51" s="14" t="s">
        <v>474</v>
      </c>
      <c r="B51" s="15" t="s">
        <v>68</v>
      </c>
      <c r="C51" s="15" t="s">
        <v>85</v>
      </c>
      <c r="D51" s="15" t="s">
        <v>475</v>
      </c>
      <c r="E51" s="15" t="s">
        <v>159</v>
      </c>
      <c r="F51" s="15" t="n">
        <v>6</v>
      </c>
      <c r="G51" s="16" t="s">
        <v>123</v>
      </c>
      <c r="H51" s="15" t="s">
        <v>160</v>
      </c>
      <c r="I51" s="15" t="s">
        <v>476</v>
      </c>
      <c r="J51" s="17" t="s">
        <v>477</v>
      </c>
      <c r="K51" s="17" t="s">
        <v>464</v>
      </c>
      <c r="L51" s="17" t="s">
        <v>246</v>
      </c>
      <c r="M51" s="17" t="s">
        <v>478</v>
      </c>
      <c r="N51" s="17" t="s">
        <v>285</v>
      </c>
      <c r="O51" s="17" t="s">
        <v>479</v>
      </c>
      <c r="P51" s="20" t="s">
        <v>47</v>
      </c>
    </row>
    <row r="52" customFormat="false" ht="45.75" hidden="false" customHeight="true" outlineLevel="0" collapsed="false">
      <c r="A52" s="14" t="s">
        <v>480</v>
      </c>
      <c r="B52" s="15" t="s">
        <v>68</v>
      </c>
      <c r="C52" s="15" t="s">
        <v>85</v>
      </c>
      <c r="D52" s="15" t="s">
        <v>481</v>
      </c>
      <c r="E52" s="15" t="s">
        <v>169</v>
      </c>
      <c r="F52" s="15" t="n">
        <v>4</v>
      </c>
      <c r="G52" s="19" t="s">
        <v>45</v>
      </c>
      <c r="H52" s="21" t="s">
        <v>170</v>
      </c>
      <c r="I52" s="15" t="s">
        <v>482</v>
      </c>
      <c r="J52" s="17" t="s">
        <v>483</v>
      </c>
      <c r="K52" s="17" t="s">
        <v>484</v>
      </c>
      <c r="L52" s="17" t="s">
        <v>214</v>
      </c>
      <c r="M52" s="17" t="s">
        <v>485</v>
      </c>
      <c r="N52" s="17" t="s">
        <v>198</v>
      </c>
      <c r="O52" s="17" t="s">
        <v>486</v>
      </c>
      <c r="P52" s="17" t="s">
        <v>41</v>
      </c>
    </row>
    <row r="53" customFormat="false" ht="45.75" hidden="false" customHeight="true" outlineLevel="0" collapsed="false">
      <c r="A53" s="14" t="s">
        <v>487</v>
      </c>
      <c r="B53" s="15" t="s">
        <v>68</v>
      </c>
      <c r="C53" s="15" t="s">
        <v>85</v>
      </c>
      <c r="D53" s="15" t="s">
        <v>488</v>
      </c>
      <c r="E53" s="15" t="s">
        <v>169</v>
      </c>
      <c r="F53" s="15" t="n">
        <v>8</v>
      </c>
      <c r="G53" s="16" t="s">
        <v>123</v>
      </c>
      <c r="H53" s="21" t="s">
        <v>170</v>
      </c>
      <c r="I53" s="15" t="s">
        <v>489</v>
      </c>
      <c r="J53" s="17" t="s">
        <v>490</v>
      </c>
      <c r="K53" s="17" t="s">
        <v>491</v>
      </c>
      <c r="L53" s="17" t="s">
        <v>246</v>
      </c>
      <c r="M53" s="17" t="s">
        <v>492</v>
      </c>
      <c r="N53" s="17" t="s">
        <v>493</v>
      </c>
      <c r="O53" s="17" t="s">
        <v>494</v>
      </c>
      <c r="P53" s="20" t="s">
        <v>47</v>
      </c>
    </row>
    <row r="54" customFormat="false" ht="45.75" hidden="false" customHeight="true" outlineLevel="0" collapsed="false">
      <c r="A54" s="14" t="s">
        <v>495</v>
      </c>
      <c r="B54" s="15" t="s">
        <v>87</v>
      </c>
      <c r="C54" s="15" t="s">
        <v>88</v>
      </c>
      <c r="D54" s="15" t="s">
        <v>496</v>
      </c>
      <c r="E54" s="15" t="s">
        <v>159</v>
      </c>
      <c r="F54" s="15" t="n">
        <v>4</v>
      </c>
      <c r="G54" s="18" t="s">
        <v>141</v>
      </c>
      <c r="H54" s="15" t="s">
        <v>150</v>
      </c>
      <c r="I54" s="15" t="s">
        <v>497</v>
      </c>
      <c r="J54" s="17" t="s">
        <v>498</v>
      </c>
      <c r="K54" s="17" t="s">
        <v>499</v>
      </c>
      <c r="L54" s="17" t="s">
        <v>214</v>
      </c>
      <c r="M54" s="17" t="s">
        <v>500</v>
      </c>
      <c r="N54" s="17" t="s">
        <v>224</v>
      </c>
      <c r="O54" s="17" t="s">
        <v>501</v>
      </c>
      <c r="P54" s="17" t="s">
        <v>41</v>
      </c>
    </row>
    <row r="55" customFormat="false" ht="45.75" hidden="false" customHeight="true" outlineLevel="0" collapsed="false">
      <c r="A55" s="14" t="s">
        <v>502</v>
      </c>
      <c r="B55" s="15" t="s">
        <v>87</v>
      </c>
      <c r="C55" s="15" t="s">
        <v>88</v>
      </c>
      <c r="D55" s="15" t="s">
        <v>503</v>
      </c>
      <c r="E55" s="15" t="s">
        <v>169</v>
      </c>
      <c r="F55" s="15" t="n">
        <v>4</v>
      </c>
      <c r="G55" s="18" t="s">
        <v>141</v>
      </c>
      <c r="H55" s="21" t="s">
        <v>170</v>
      </c>
      <c r="I55" s="15" t="s">
        <v>504</v>
      </c>
      <c r="J55" s="17" t="s">
        <v>505</v>
      </c>
      <c r="K55" s="17" t="s">
        <v>506</v>
      </c>
      <c r="L55" s="17" t="s">
        <v>214</v>
      </c>
      <c r="M55" s="17" t="s">
        <v>507</v>
      </c>
      <c r="N55" s="17" t="s">
        <v>224</v>
      </c>
      <c r="O55" s="17" t="s">
        <v>508</v>
      </c>
      <c r="P55" s="17" t="s">
        <v>41</v>
      </c>
    </row>
    <row r="56" customFormat="false" ht="45.75" hidden="false" customHeight="true" outlineLevel="0" collapsed="false">
      <c r="A56" s="14" t="s">
        <v>509</v>
      </c>
      <c r="B56" s="15" t="s">
        <v>87</v>
      </c>
      <c r="C56" s="15" t="s">
        <v>91</v>
      </c>
      <c r="D56" s="15" t="s">
        <v>510</v>
      </c>
      <c r="E56" s="15" t="s">
        <v>169</v>
      </c>
      <c r="F56" s="15" t="n">
        <v>5</v>
      </c>
      <c r="G56" s="18" t="s">
        <v>141</v>
      </c>
      <c r="H56" s="21" t="s">
        <v>170</v>
      </c>
      <c r="I56" s="15" t="s">
        <v>511</v>
      </c>
      <c r="J56" s="17" t="s">
        <v>512</v>
      </c>
      <c r="K56" s="17" t="s">
        <v>513</v>
      </c>
      <c r="L56" s="17" t="s">
        <v>214</v>
      </c>
      <c r="M56" s="17" t="s">
        <v>514</v>
      </c>
      <c r="N56" s="17" t="s">
        <v>515</v>
      </c>
      <c r="O56" s="17" t="s">
        <v>516</v>
      </c>
      <c r="P56" s="17" t="s">
        <v>41</v>
      </c>
    </row>
    <row r="57" customFormat="false" ht="45.75" hidden="false" customHeight="true" outlineLevel="0" collapsed="false">
      <c r="A57" s="14" t="s">
        <v>517</v>
      </c>
      <c r="B57" s="15" t="s">
        <v>87</v>
      </c>
      <c r="C57" s="15" t="s">
        <v>91</v>
      </c>
      <c r="D57" s="15" t="s">
        <v>518</v>
      </c>
      <c r="E57" s="15" t="s">
        <v>169</v>
      </c>
      <c r="F57" s="15" t="n">
        <v>5</v>
      </c>
      <c r="G57" s="18" t="s">
        <v>141</v>
      </c>
      <c r="H57" s="21" t="s">
        <v>170</v>
      </c>
      <c r="I57" s="15" t="s">
        <v>519</v>
      </c>
      <c r="J57" s="17" t="s">
        <v>520</v>
      </c>
      <c r="K57" s="17" t="s">
        <v>521</v>
      </c>
      <c r="L57" s="17" t="s">
        <v>214</v>
      </c>
      <c r="M57" s="17" t="s">
        <v>317</v>
      </c>
      <c r="N57" s="17" t="s">
        <v>224</v>
      </c>
      <c r="O57" s="17" t="s">
        <v>522</v>
      </c>
      <c r="P57" s="20" t="s">
        <v>47</v>
      </c>
    </row>
    <row r="58" customFormat="false" ht="45.75" hidden="false" customHeight="true" outlineLevel="0" collapsed="false">
      <c r="A58" s="14" t="s">
        <v>523</v>
      </c>
      <c r="B58" s="15" t="s">
        <v>87</v>
      </c>
      <c r="C58" s="15" t="s">
        <v>93</v>
      </c>
      <c r="D58" s="15" t="s">
        <v>524</v>
      </c>
      <c r="E58" s="15" t="s">
        <v>159</v>
      </c>
      <c r="F58" s="15" t="n">
        <v>3</v>
      </c>
      <c r="G58" s="18" t="s">
        <v>141</v>
      </c>
      <c r="H58" s="15" t="s">
        <v>150</v>
      </c>
      <c r="I58" s="15" t="s">
        <v>525</v>
      </c>
      <c r="J58" s="17" t="s">
        <v>526</v>
      </c>
      <c r="K58" s="17" t="s">
        <v>527</v>
      </c>
      <c r="L58" s="17" t="s">
        <v>214</v>
      </c>
      <c r="M58" s="17" t="s">
        <v>500</v>
      </c>
      <c r="N58" s="17" t="s">
        <v>224</v>
      </c>
      <c r="O58" s="17" t="s">
        <v>528</v>
      </c>
      <c r="P58" s="17" t="s">
        <v>41</v>
      </c>
    </row>
    <row r="59" customFormat="false" ht="45.75" hidden="false" customHeight="true" outlineLevel="0" collapsed="false">
      <c r="A59" s="14" t="s">
        <v>529</v>
      </c>
      <c r="B59" s="15" t="s">
        <v>87</v>
      </c>
      <c r="C59" s="15" t="s">
        <v>93</v>
      </c>
      <c r="D59" s="15" t="s">
        <v>530</v>
      </c>
      <c r="E59" s="15" t="s">
        <v>169</v>
      </c>
      <c r="F59" s="15" t="n">
        <v>6</v>
      </c>
      <c r="G59" s="18" t="s">
        <v>141</v>
      </c>
      <c r="H59" s="21" t="s">
        <v>170</v>
      </c>
      <c r="I59" s="15" t="s">
        <v>531</v>
      </c>
      <c r="J59" s="17" t="s">
        <v>532</v>
      </c>
      <c r="K59" s="17" t="s">
        <v>533</v>
      </c>
      <c r="L59" s="17" t="s">
        <v>246</v>
      </c>
      <c r="M59" s="17" t="s">
        <v>317</v>
      </c>
      <c r="N59" s="17" t="s">
        <v>493</v>
      </c>
      <c r="O59" s="17" t="s">
        <v>534</v>
      </c>
      <c r="P59" s="20" t="s">
        <v>47</v>
      </c>
    </row>
    <row r="60" customFormat="false" ht="45.75" hidden="false" customHeight="true" outlineLevel="0" collapsed="false">
      <c r="A60" s="14" t="s">
        <v>535</v>
      </c>
      <c r="B60" s="15" t="s">
        <v>87</v>
      </c>
      <c r="C60" s="15" t="s">
        <v>93</v>
      </c>
      <c r="D60" s="15" t="s">
        <v>536</v>
      </c>
      <c r="E60" s="15" t="s">
        <v>169</v>
      </c>
      <c r="F60" s="15" t="n">
        <v>4</v>
      </c>
      <c r="G60" s="19" t="s">
        <v>39</v>
      </c>
      <c r="H60" s="21" t="s">
        <v>170</v>
      </c>
      <c r="I60" s="15" t="s">
        <v>537</v>
      </c>
      <c r="J60" s="17" t="s">
        <v>538</v>
      </c>
      <c r="K60" s="17" t="s">
        <v>539</v>
      </c>
      <c r="L60" s="17" t="s">
        <v>214</v>
      </c>
      <c r="M60" s="17" t="s">
        <v>317</v>
      </c>
      <c r="N60" s="17" t="s">
        <v>540</v>
      </c>
      <c r="O60" s="17" t="s">
        <v>541</v>
      </c>
      <c r="P60" s="17" t="s">
        <v>41</v>
      </c>
    </row>
    <row r="61" customFormat="false" ht="45.75" hidden="false" customHeight="true" outlineLevel="0" collapsed="false">
      <c r="A61" s="14" t="s">
        <v>542</v>
      </c>
      <c r="B61" s="15" t="s">
        <v>87</v>
      </c>
      <c r="C61" s="15" t="s">
        <v>93</v>
      </c>
      <c r="D61" s="15" t="s">
        <v>543</v>
      </c>
      <c r="E61" s="15" t="s">
        <v>169</v>
      </c>
      <c r="F61" s="15" t="n">
        <v>4</v>
      </c>
      <c r="G61" s="18" t="s">
        <v>141</v>
      </c>
      <c r="H61" s="21" t="s">
        <v>170</v>
      </c>
      <c r="I61" s="15" t="s">
        <v>544</v>
      </c>
      <c r="J61" s="17" t="s">
        <v>545</v>
      </c>
      <c r="K61" s="17" t="s">
        <v>546</v>
      </c>
      <c r="L61" s="17" t="s">
        <v>214</v>
      </c>
      <c r="M61" s="17" t="s">
        <v>317</v>
      </c>
      <c r="N61" s="17" t="s">
        <v>224</v>
      </c>
      <c r="O61" s="17" t="s">
        <v>547</v>
      </c>
      <c r="P61" s="17" t="s">
        <v>41</v>
      </c>
    </row>
    <row r="62" customFormat="false" ht="45.75" hidden="false" customHeight="true" outlineLevel="0" collapsed="false">
      <c r="A62" s="14" t="s">
        <v>548</v>
      </c>
      <c r="B62" s="15" t="s">
        <v>95</v>
      </c>
      <c r="C62" s="15" t="s">
        <v>96</v>
      </c>
      <c r="D62" s="15" t="s">
        <v>549</v>
      </c>
      <c r="E62" s="15" t="s">
        <v>453</v>
      </c>
      <c r="F62" s="15" t="n">
        <v>6</v>
      </c>
      <c r="G62" s="18" t="s">
        <v>141</v>
      </c>
      <c r="H62" s="15" t="s">
        <v>124</v>
      </c>
      <c r="I62" s="15" t="s">
        <v>550</v>
      </c>
      <c r="J62" s="17" t="s">
        <v>551</v>
      </c>
      <c r="K62" s="17" t="s">
        <v>552</v>
      </c>
      <c r="L62" s="17" t="s">
        <v>144</v>
      </c>
      <c r="M62" s="17" t="s">
        <v>553</v>
      </c>
      <c r="N62" s="17" t="s">
        <v>554</v>
      </c>
      <c r="O62" s="17" t="s">
        <v>555</v>
      </c>
      <c r="P62" s="17" t="s">
        <v>41</v>
      </c>
    </row>
    <row r="63" customFormat="false" ht="45.75" hidden="false" customHeight="true" outlineLevel="0" collapsed="false">
      <c r="A63" s="14" t="s">
        <v>556</v>
      </c>
      <c r="B63" s="15" t="s">
        <v>95</v>
      </c>
      <c r="C63" s="15" t="s">
        <v>96</v>
      </c>
      <c r="D63" s="15" t="s">
        <v>557</v>
      </c>
      <c r="E63" s="15" t="s">
        <v>169</v>
      </c>
      <c r="F63" s="15" t="n">
        <v>5</v>
      </c>
      <c r="G63" s="18" t="s">
        <v>141</v>
      </c>
      <c r="H63" s="21" t="s">
        <v>170</v>
      </c>
      <c r="I63" s="15" t="s">
        <v>558</v>
      </c>
      <c r="J63" s="17" t="s">
        <v>559</v>
      </c>
      <c r="K63" s="17" t="s">
        <v>560</v>
      </c>
      <c r="L63" s="17" t="s">
        <v>214</v>
      </c>
      <c r="M63" s="17" t="s">
        <v>561</v>
      </c>
      <c r="N63" s="17" t="s">
        <v>224</v>
      </c>
      <c r="O63" s="17" t="s">
        <v>562</v>
      </c>
      <c r="P63" s="17" t="s">
        <v>41</v>
      </c>
    </row>
    <row r="64" customFormat="false" ht="45.75" hidden="false" customHeight="true" outlineLevel="0" collapsed="false">
      <c r="A64" s="14" t="s">
        <v>563</v>
      </c>
      <c r="B64" s="15" t="s">
        <v>95</v>
      </c>
      <c r="C64" s="15" t="s">
        <v>99</v>
      </c>
      <c r="D64" s="15" t="s">
        <v>100</v>
      </c>
      <c r="E64" s="15" t="s">
        <v>169</v>
      </c>
      <c r="F64" s="15" t="n">
        <v>4</v>
      </c>
      <c r="G64" s="18" t="s">
        <v>141</v>
      </c>
      <c r="H64" s="21" t="s">
        <v>170</v>
      </c>
      <c r="I64" s="15" t="s">
        <v>564</v>
      </c>
      <c r="J64" s="17" t="s">
        <v>565</v>
      </c>
      <c r="K64" s="17" t="s">
        <v>566</v>
      </c>
      <c r="L64" s="17" t="s">
        <v>214</v>
      </c>
      <c r="M64" s="17" t="s">
        <v>567</v>
      </c>
      <c r="N64" s="17" t="s">
        <v>224</v>
      </c>
      <c r="O64" s="17" t="s">
        <v>568</v>
      </c>
      <c r="P64" s="17" t="s">
        <v>41</v>
      </c>
    </row>
    <row r="65" customFormat="false" ht="45.75" hidden="false" customHeight="true" outlineLevel="0" collapsed="false">
      <c r="A65" s="14" t="s">
        <v>569</v>
      </c>
      <c r="B65" s="15" t="s">
        <v>95</v>
      </c>
      <c r="C65" s="15" t="s">
        <v>101</v>
      </c>
      <c r="D65" s="15" t="s">
        <v>570</v>
      </c>
      <c r="E65" s="15" t="s">
        <v>453</v>
      </c>
      <c r="F65" s="15" t="n">
        <v>4</v>
      </c>
      <c r="G65" s="18" t="s">
        <v>141</v>
      </c>
      <c r="H65" s="15" t="s">
        <v>124</v>
      </c>
      <c r="I65" s="15" t="s">
        <v>571</v>
      </c>
      <c r="J65" s="17" t="s">
        <v>572</v>
      </c>
      <c r="K65" s="17" t="s">
        <v>573</v>
      </c>
      <c r="L65" s="17" t="s">
        <v>214</v>
      </c>
      <c r="M65" s="17" t="s">
        <v>574</v>
      </c>
      <c r="N65" s="17" t="s">
        <v>575</v>
      </c>
      <c r="O65" s="17" t="s">
        <v>576</v>
      </c>
      <c r="P65" s="17" t="s">
        <v>41</v>
      </c>
    </row>
    <row r="67" customFormat="false" ht="15" hidden="false" customHeight="false" outlineLevel="0" collapsed="false">
      <c r="D67" s="13" t="s">
        <v>577</v>
      </c>
      <c r="E67" s="13" t="n">
        <f aca="false">COUNTA(A5:A65)</f>
        <v>61</v>
      </c>
      <c r="F67" s="13" t="n">
        <f aca="false">SUM(F5:F65)</f>
        <v>295</v>
      </c>
      <c r="G67" s="4" t="s">
        <v>578</v>
      </c>
    </row>
    <row r="68" customFormat="false" ht="15" hidden="false" customHeight="false" outlineLevel="0" collapsed="false">
      <c r="D68" s="13" t="s">
        <v>579</v>
      </c>
      <c r="F68" s="13" t="n">
        <f aca="false">SUMIF(P5:P65,"Fall",F5:F65)</f>
        <v>239</v>
      </c>
    </row>
    <row r="69" customFormat="false" ht="15" hidden="false" customHeight="false" outlineLevel="0" collapsed="false">
      <c r="D69" s="13" t="s">
        <v>580</v>
      </c>
      <c r="F69" s="13" t="n">
        <f aca="false">SUMIF(P5:P65,"Spring",F5:F65)</f>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5"/>
    <col collapsed="false" customWidth="true" hidden="false" outlineLevel="0" max="4" min="4" style="0" width="19"/>
    <col collapsed="false" customWidth="true" hidden="false" outlineLevel="0" max="6" min="5" style="0" width="10"/>
    <col collapsed="false" customWidth="true" hidden="false" outlineLevel="0" max="7" min="7" style="0" width="14"/>
    <col collapsed="false" customWidth="true" hidden="false" outlineLevel="0" max="8" min="8" style="0" width="44"/>
  </cols>
  <sheetData>
    <row r="1" customFormat="false" ht="18.55" hidden="false" customHeight="false" outlineLevel="0" collapsed="false">
      <c r="A1" s="1" t="s">
        <v>581</v>
      </c>
    </row>
    <row r="2" customFormat="false" ht="15" hidden="false" customHeight="false" outlineLevel="0" collapsed="false">
      <c r="A2" s="4" t="s">
        <v>582</v>
      </c>
    </row>
    <row r="4" customFormat="false" ht="33.75" hidden="false" customHeight="true" outlineLevel="0" collapsed="false">
      <c r="A4" s="5" t="s">
        <v>583</v>
      </c>
      <c r="B4" s="5" t="s">
        <v>584</v>
      </c>
      <c r="C4" s="5" t="s">
        <v>585</v>
      </c>
      <c r="D4" s="5" t="s">
        <v>586</v>
      </c>
      <c r="E4" s="5" t="s">
        <v>169</v>
      </c>
      <c r="F4" s="5" t="s">
        <v>453</v>
      </c>
      <c r="G4" s="5" t="s">
        <v>587</v>
      </c>
      <c r="H4" s="5" t="s">
        <v>588</v>
      </c>
    </row>
    <row r="5" customFormat="false" ht="15" hidden="false" customHeight="false" outlineLevel="0" collapsed="false">
      <c r="A5" s="22" t="s">
        <v>180</v>
      </c>
      <c r="B5" s="23" t="s">
        <v>50</v>
      </c>
      <c r="C5" s="24" t="n">
        <f aca="false">SUMPRODUCT(--ISNUMBER(SEARCH($A5,ActivityUX!$I$5:$I$65)))</f>
        <v>3</v>
      </c>
      <c r="D5" s="24" t="n">
        <f aca="false">SUMPRODUCT(--ISNUMBER(SEARCH($A5,ActivityUX!$I$5:$I$65)),--((ActivityUX!$E$5:$E$65="Practice")+(ActivityUX!$E$5:$E$65="Present")&gt;0))</f>
        <v>1</v>
      </c>
      <c r="E5" s="24" t="n">
        <f aca="false">SUMPRODUCT(--ISNUMBER(SEARCH($A5,ActivityUX!$I$5:$I$65)),--(ActivityUX!$E$5:$E$65="Assess"))</f>
        <v>2</v>
      </c>
      <c r="F5" s="24" t="n">
        <f aca="false">SUMPRODUCT(--ISNUMBER(SEARCH($A5,ActivityUX!$I$5:$I$65)),--(ActivityUX!$E$5:$E$65="Reflect"))</f>
        <v>0</v>
      </c>
      <c r="G5" s="24" t="n">
        <f aca="false">SUMPRODUCT(--ISNUMBER(SEARCH($A5,ActivityUX!$I$5:$I$65)),--(ActivityUX!$P$5:$P$65="Fall"))</f>
        <v>2</v>
      </c>
      <c r="H5" s="23" t="str">
        <f aca="false">IF(C5=0,"NOT COVERED",IF(G5=0,"Spring only",IF(AND(E5=0,F5&gt;0),"OK, trend measure",IF(E5=0,"Taught but never scored",IF(D5+F5=0,"Scored without practice","OK")))))</f>
        <v>OK</v>
      </c>
    </row>
    <row r="6" customFormat="false" ht="15" hidden="false" customHeight="false" outlineLevel="0" collapsed="false">
      <c r="A6" s="22" t="s">
        <v>202</v>
      </c>
      <c r="B6" s="23" t="s">
        <v>50</v>
      </c>
      <c r="C6" s="24" t="n">
        <f aca="false">SUMPRODUCT(--ISNUMBER(SEARCH($A6,ActivityUX!$I$5:$I$65)))</f>
        <v>2</v>
      </c>
      <c r="D6" s="24" t="n">
        <f aca="false">SUMPRODUCT(--ISNUMBER(SEARCH($A6,ActivityUX!$I$5:$I$65)),--((ActivityUX!$E$5:$E$65="Practice")+(ActivityUX!$E$5:$E$65="Present")&gt;0))</f>
        <v>1</v>
      </c>
      <c r="E6" s="24" t="n">
        <f aca="false">SUMPRODUCT(--ISNUMBER(SEARCH($A6,ActivityUX!$I$5:$I$65)),--(ActivityUX!$E$5:$E$65="Assess"))</f>
        <v>1</v>
      </c>
      <c r="F6" s="24" t="n">
        <f aca="false">SUMPRODUCT(--ISNUMBER(SEARCH($A6,ActivityUX!$I$5:$I$65)),--(ActivityUX!$E$5:$E$65="Reflect"))</f>
        <v>0</v>
      </c>
      <c r="G6" s="24" t="n">
        <f aca="false">SUMPRODUCT(--ISNUMBER(SEARCH($A6,ActivityUX!$I$5:$I$65)),--(ActivityUX!$P$5:$P$65="Fall"))</f>
        <v>2</v>
      </c>
      <c r="H6" s="23" t="str">
        <f aca="false">IF(C6=0,"NOT COVERED",IF(G6=0,"Spring only",IF(AND(E6=0,F6&gt;0),"OK, trend measure",IF(E6=0,"Taught but never scored",IF(D6+F6=0,"Scored without practice","OK")))))</f>
        <v>OK</v>
      </c>
    </row>
    <row r="7" customFormat="false" ht="15" hidden="false" customHeight="false" outlineLevel="0" collapsed="false">
      <c r="A7" s="22" t="s">
        <v>193</v>
      </c>
      <c r="B7" s="23" t="s">
        <v>50</v>
      </c>
      <c r="C7" s="24" t="n">
        <f aca="false">SUMPRODUCT(--ISNUMBER(SEARCH($A7,ActivityUX!$I$5:$I$65)))</f>
        <v>2</v>
      </c>
      <c r="D7" s="24" t="n">
        <f aca="false">SUMPRODUCT(--ISNUMBER(SEARCH($A7,ActivityUX!$I$5:$I$65)),--((ActivityUX!$E$5:$E$65="Practice")+(ActivityUX!$E$5:$E$65="Present")&gt;0))</f>
        <v>1</v>
      </c>
      <c r="E7" s="24" t="n">
        <f aca="false">SUMPRODUCT(--ISNUMBER(SEARCH($A7,ActivityUX!$I$5:$I$65)),--(ActivityUX!$E$5:$E$65="Assess"))</f>
        <v>1</v>
      </c>
      <c r="F7" s="24" t="n">
        <f aca="false">SUMPRODUCT(--ISNUMBER(SEARCH($A7,ActivityUX!$I$5:$I$65)),--(ActivityUX!$E$5:$E$65="Reflect"))</f>
        <v>0</v>
      </c>
      <c r="G7" s="24" t="n">
        <f aca="false">SUMPRODUCT(--ISNUMBER(SEARCH($A7,ActivityUX!$I$5:$I$65)),--(ActivityUX!$P$5:$P$65="Fall"))</f>
        <v>2</v>
      </c>
      <c r="H7" s="23" t="str">
        <f aca="false">IF(C7=0,"NOT COVERED",IF(G7=0,"Spring only",IF(AND(E7=0,F7&gt;0),"OK, trend measure",IF(E7=0,"Taught but never scored",IF(D7+F7=0,"Scored without practice","OK")))))</f>
        <v>OK</v>
      </c>
    </row>
    <row r="8" customFormat="false" ht="15" hidden="false" customHeight="false" outlineLevel="0" collapsed="false">
      <c r="A8" s="22" t="s">
        <v>589</v>
      </c>
      <c r="B8" s="23" t="s">
        <v>50</v>
      </c>
      <c r="C8" s="24" t="n">
        <f aca="false">SUMPRODUCT(--ISNUMBER(SEARCH($A8,ActivityUX!$I$5:$I$65)))</f>
        <v>2</v>
      </c>
      <c r="D8" s="24" t="n">
        <f aca="false">SUMPRODUCT(--ISNUMBER(SEARCH($A8,ActivityUX!$I$5:$I$65)),--((ActivityUX!$E$5:$E$65="Practice")+(ActivityUX!$E$5:$E$65="Present")&gt;0))</f>
        <v>1</v>
      </c>
      <c r="E8" s="24" t="n">
        <f aca="false">SUMPRODUCT(--ISNUMBER(SEARCH($A8,ActivityUX!$I$5:$I$65)),--(ActivityUX!$E$5:$E$65="Assess"))</f>
        <v>1</v>
      </c>
      <c r="F8" s="24" t="n">
        <f aca="false">SUMPRODUCT(--ISNUMBER(SEARCH($A8,ActivityUX!$I$5:$I$65)),--(ActivityUX!$E$5:$E$65="Reflect"))</f>
        <v>0</v>
      </c>
      <c r="G8" s="24" t="n">
        <f aca="false">SUMPRODUCT(--ISNUMBER(SEARCH($A8,ActivityUX!$I$5:$I$65)),--(ActivityUX!$P$5:$P$65="Fall"))</f>
        <v>2</v>
      </c>
      <c r="H8" s="23" t="str">
        <f aca="false">IF(C8=0,"NOT COVERED",IF(G8=0,"Spring only",IF(AND(E8=0,F8&gt;0),"OK, trend measure",IF(E8=0,"Taught but never scored",IF(D8+F8=0,"Scored without practice","OK")))))</f>
        <v>OK</v>
      </c>
    </row>
    <row r="9" customFormat="false" ht="15" hidden="false" customHeight="false" outlineLevel="0" collapsed="false">
      <c r="A9" s="22" t="s">
        <v>590</v>
      </c>
      <c r="B9" s="23" t="s">
        <v>50</v>
      </c>
      <c r="C9" s="24" t="n">
        <f aca="false">SUMPRODUCT(--ISNUMBER(SEARCH($A9,ActivityUX!$I$5:$I$65)))</f>
        <v>2</v>
      </c>
      <c r="D9" s="24" t="n">
        <f aca="false">SUMPRODUCT(--ISNUMBER(SEARCH($A9,ActivityUX!$I$5:$I$65)),--((ActivityUX!$E$5:$E$65="Practice")+(ActivityUX!$E$5:$E$65="Present")&gt;0))</f>
        <v>1</v>
      </c>
      <c r="E9" s="24" t="n">
        <f aca="false">SUMPRODUCT(--ISNUMBER(SEARCH($A9,ActivityUX!$I$5:$I$65)),--(ActivityUX!$E$5:$E$65="Assess"))</f>
        <v>1</v>
      </c>
      <c r="F9" s="24" t="n">
        <f aca="false">SUMPRODUCT(--ISNUMBER(SEARCH($A9,ActivityUX!$I$5:$I$65)),--(ActivityUX!$E$5:$E$65="Reflect"))</f>
        <v>0</v>
      </c>
      <c r="G9" s="24" t="n">
        <f aca="false">SUMPRODUCT(--ISNUMBER(SEARCH($A9,ActivityUX!$I$5:$I$65)),--(ActivityUX!$P$5:$P$65="Fall"))</f>
        <v>1</v>
      </c>
      <c r="H9" s="23" t="str">
        <f aca="false">IF(C9=0,"NOT COVERED",IF(G9=0,"Spring only",IF(AND(E9=0,F9&gt;0),"OK, trend measure",IF(E9=0,"Taught but never scored",IF(D9+F9=0,"Scored without practice","OK")))))</f>
        <v>OK</v>
      </c>
    </row>
    <row r="10" customFormat="false" ht="15" hidden="false" customHeight="false" outlineLevel="0" collapsed="false">
      <c r="A10" s="22" t="s">
        <v>220</v>
      </c>
      <c r="B10" s="23" t="s">
        <v>50</v>
      </c>
      <c r="C10" s="24" t="n">
        <f aca="false">SUMPRODUCT(--ISNUMBER(SEARCH($A10,ActivityUX!$I$5:$I$65)))</f>
        <v>2</v>
      </c>
      <c r="D10" s="24" t="n">
        <f aca="false">SUMPRODUCT(--ISNUMBER(SEARCH($A10,ActivityUX!$I$5:$I$65)),--((ActivityUX!$E$5:$E$65="Practice")+(ActivityUX!$E$5:$E$65="Present")&gt;0))</f>
        <v>1</v>
      </c>
      <c r="E10" s="24" t="n">
        <f aca="false">SUMPRODUCT(--ISNUMBER(SEARCH($A10,ActivityUX!$I$5:$I$65)),--(ActivityUX!$E$5:$E$65="Assess"))</f>
        <v>1</v>
      </c>
      <c r="F10" s="24" t="n">
        <f aca="false">SUMPRODUCT(--ISNUMBER(SEARCH($A10,ActivityUX!$I$5:$I$65)),--(ActivityUX!$E$5:$E$65="Reflect"))</f>
        <v>0</v>
      </c>
      <c r="G10" s="24" t="n">
        <f aca="false">SUMPRODUCT(--ISNUMBER(SEARCH($A10,ActivityUX!$I$5:$I$65)),--(ActivityUX!$P$5:$P$65="Fall"))</f>
        <v>2</v>
      </c>
      <c r="H10" s="23" t="str">
        <f aca="false">IF(C10=0,"NOT COVERED",IF(G10=0,"Spring only",IF(AND(E10=0,F10&gt;0),"OK, trend measure",IF(E10=0,"Taught but never scored",IF(D10+F10=0,"Scored without practice","OK")))))</f>
        <v>OK</v>
      </c>
    </row>
    <row r="11" customFormat="false" ht="15" hidden="false" customHeight="false" outlineLevel="0" collapsed="false">
      <c r="A11" s="22" t="s">
        <v>151</v>
      </c>
      <c r="B11" s="23" t="s">
        <v>50</v>
      </c>
      <c r="C11" s="24" t="n">
        <f aca="false">SUMPRODUCT(--ISNUMBER(SEARCH($A11,ActivityUX!$I$5:$I$65)))</f>
        <v>3</v>
      </c>
      <c r="D11" s="24" t="n">
        <f aca="false">SUMPRODUCT(--ISNUMBER(SEARCH($A11,ActivityUX!$I$5:$I$65)),--((ActivityUX!$E$5:$E$65="Practice")+(ActivityUX!$E$5:$E$65="Present")&gt;0))</f>
        <v>2</v>
      </c>
      <c r="E11" s="24" t="n">
        <f aca="false">SUMPRODUCT(--ISNUMBER(SEARCH($A11,ActivityUX!$I$5:$I$65)),--(ActivityUX!$E$5:$E$65="Assess"))</f>
        <v>1</v>
      </c>
      <c r="F11" s="24" t="n">
        <f aca="false">SUMPRODUCT(--ISNUMBER(SEARCH($A11,ActivityUX!$I$5:$I$65)),--(ActivityUX!$E$5:$E$65="Reflect"))</f>
        <v>0</v>
      </c>
      <c r="G11" s="24" t="n">
        <f aca="false">SUMPRODUCT(--ISNUMBER(SEARCH($A11,ActivityUX!$I$5:$I$65)),--(ActivityUX!$P$5:$P$65="Fall"))</f>
        <v>2</v>
      </c>
      <c r="H11" s="23" t="str">
        <f aca="false">IF(C11=0,"NOT COVERED",IF(G11=0,"Spring only",IF(AND(E11=0,F11&gt;0),"OK, trend measure",IF(E11=0,"Taught but never scored",IF(D11+F11=0,"Scored without practice","OK")))))</f>
        <v>OK</v>
      </c>
    </row>
    <row r="12" customFormat="false" ht="15" hidden="false" customHeight="false" outlineLevel="0" collapsed="false">
      <c r="A12" s="22" t="s">
        <v>236</v>
      </c>
      <c r="B12" s="23" t="s">
        <v>59</v>
      </c>
      <c r="C12" s="24" t="n">
        <f aca="false">SUMPRODUCT(--ISNUMBER(SEARCH($A12,ActivityUX!$I$5:$I$65)))</f>
        <v>3</v>
      </c>
      <c r="D12" s="24" t="n">
        <f aca="false">SUMPRODUCT(--ISNUMBER(SEARCH($A12,ActivityUX!$I$5:$I$65)),--((ActivityUX!$E$5:$E$65="Practice")+(ActivityUX!$E$5:$E$65="Present")&gt;0))</f>
        <v>2</v>
      </c>
      <c r="E12" s="24" t="n">
        <f aca="false">SUMPRODUCT(--ISNUMBER(SEARCH($A12,ActivityUX!$I$5:$I$65)),--(ActivityUX!$E$5:$E$65="Assess"))</f>
        <v>1</v>
      </c>
      <c r="F12" s="24" t="n">
        <f aca="false">SUMPRODUCT(--ISNUMBER(SEARCH($A12,ActivityUX!$I$5:$I$65)),--(ActivityUX!$E$5:$E$65="Reflect"))</f>
        <v>0</v>
      </c>
      <c r="G12" s="24" t="n">
        <f aca="false">SUMPRODUCT(--ISNUMBER(SEARCH($A12,ActivityUX!$I$5:$I$65)),--(ActivityUX!$P$5:$P$65="Fall"))</f>
        <v>3</v>
      </c>
      <c r="H12" s="23" t="str">
        <f aca="false">IF(C12=0,"NOT COVERED",IF(G12=0,"Spring only",IF(AND(E12=0,F12&gt;0),"OK, trend measure",IF(E12=0,"Taught but never scored",IF(D12+F12=0,"Scored without practice","OK")))))</f>
        <v>OK</v>
      </c>
    </row>
    <row r="13" customFormat="false" ht="15" hidden="false" customHeight="false" outlineLevel="0" collapsed="false">
      <c r="A13" s="22" t="s">
        <v>267</v>
      </c>
      <c r="B13" s="23" t="s">
        <v>59</v>
      </c>
      <c r="C13" s="24" t="n">
        <f aca="false">SUMPRODUCT(--ISNUMBER(SEARCH($A13,ActivityUX!$I$5:$I$65)))</f>
        <v>3</v>
      </c>
      <c r="D13" s="24" t="n">
        <f aca="false">SUMPRODUCT(--ISNUMBER(SEARCH($A13,ActivityUX!$I$5:$I$65)),--((ActivityUX!$E$5:$E$65="Practice")+(ActivityUX!$E$5:$E$65="Present")&gt;0))</f>
        <v>2</v>
      </c>
      <c r="E13" s="24" t="n">
        <f aca="false">SUMPRODUCT(--ISNUMBER(SEARCH($A13,ActivityUX!$I$5:$I$65)),--(ActivityUX!$E$5:$E$65="Assess"))</f>
        <v>1</v>
      </c>
      <c r="F13" s="24" t="n">
        <f aca="false">SUMPRODUCT(--ISNUMBER(SEARCH($A13,ActivityUX!$I$5:$I$65)),--(ActivityUX!$E$5:$E$65="Reflect"))</f>
        <v>0</v>
      </c>
      <c r="G13" s="24" t="n">
        <f aca="false">SUMPRODUCT(--ISNUMBER(SEARCH($A13,ActivityUX!$I$5:$I$65)),--(ActivityUX!$P$5:$P$65="Fall"))</f>
        <v>3</v>
      </c>
      <c r="H13" s="23" t="str">
        <f aca="false">IF(C13=0,"NOT COVERED",IF(G13=0,"Spring only",IF(AND(E13=0,F13&gt;0),"OK, trend measure",IF(E13=0,"Taught but never scored",IF(D13+F13=0,"Scored without practice","OK")))))</f>
        <v>OK</v>
      </c>
    </row>
    <row r="14" customFormat="false" ht="15" hidden="false" customHeight="false" outlineLevel="0" collapsed="false">
      <c r="A14" s="22" t="s">
        <v>281</v>
      </c>
      <c r="B14" s="23" t="s">
        <v>59</v>
      </c>
      <c r="C14" s="24" t="n">
        <f aca="false">SUMPRODUCT(--ISNUMBER(SEARCH($A14,ActivityUX!$I$5:$I$65)))</f>
        <v>3</v>
      </c>
      <c r="D14" s="24" t="n">
        <f aca="false">SUMPRODUCT(--ISNUMBER(SEARCH($A14,ActivityUX!$I$5:$I$65)),--((ActivityUX!$E$5:$E$65="Practice")+(ActivityUX!$E$5:$E$65="Present")&gt;0))</f>
        <v>2</v>
      </c>
      <c r="E14" s="24" t="n">
        <f aca="false">SUMPRODUCT(--ISNUMBER(SEARCH($A14,ActivityUX!$I$5:$I$65)),--(ActivityUX!$E$5:$E$65="Assess"))</f>
        <v>1</v>
      </c>
      <c r="F14" s="24" t="n">
        <f aca="false">SUMPRODUCT(--ISNUMBER(SEARCH($A14,ActivityUX!$I$5:$I$65)),--(ActivityUX!$E$5:$E$65="Reflect"))</f>
        <v>0</v>
      </c>
      <c r="G14" s="24" t="n">
        <f aca="false">SUMPRODUCT(--ISNUMBER(SEARCH($A14,ActivityUX!$I$5:$I$65)),--(ActivityUX!$P$5:$P$65="Fall"))</f>
        <v>3</v>
      </c>
      <c r="H14" s="23" t="str">
        <f aca="false">IF(C14=0,"NOT COVERED",IF(G14=0,"Spring only",IF(AND(E14=0,F14&gt;0),"OK, trend measure",IF(E14=0,"Taught but never scored",IF(D14+F14=0,"Scored without practice","OK")))))</f>
        <v>OK</v>
      </c>
    </row>
    <row r="15" customFormat="false" ht="15" hidden="false" customHeight="false" outlineLevel="0" collapsed="false">
      <c r="A15" s="22" t="s">
        <v>300</v>
      </c>
      <c r="B15" s="23" t="s">
        <v>59</v>
      </c>
      <c r="C15" s="24" t="n">
        <f aca="false">SUMPRODUCT(--ISNUMBER(SEARCH($A15,ActivityUX!$I$5:$I$65)))</f>
        <v>3</v>
      </c>
      <c r="D15" s="24" t="n">
        <f aca="false">SUMPRODUCT(--ISNUMBER(SEARCH($A15,ActivityUX!$I$5:$I$65)),--((ActivityUX!$E$5:$E$65="Practice")+(ActivityUX!$E$5:$E$65="Present")&gt;0))</f>
        <v>2</v>
      </c>
      <c r="E15" s="24" t="n">
        <f aca="false">SUMPRODUCT(--ISNUMBER(SEARCH($A15,ActivityUX!$I$5:$I$65)),--(ActivityUX!$E$5:$E$65="Assess"))</f>
        <v>1</v>
      </c>
      <c r="F15" s="24" t="n">
        <f aca="false">SUMPRODUCT(--ISNUMBER(SEARCH($A15,ActivityUX!$I$5:$I$65)),--(ActivityUX!$E$5:$E$65="Reflect"))</f>
        <v>0</v>
      </c>
      <c r="G15" s="24" t="n">
        <f aca="false">SUMPRODUCT(--ISNUMBER(SEARCH($A15,ActivityUX!$I$5:$I$65)),--(ActivityUX!$P$5:$P$65="Fall"))</f>
        <v>3</v>
      </c>
      <c r="H15" s="23" t="str">
        <f aca="false">IF(C15=0,"NOT COVERED",IF(G15=0,"Spring only",IF(AND(E15=0,F15&gt;0),"OK, trend measure",IF(E15=0,"Taught but never scored",IF(D15+F15=0,"Scored without practice","OK")))))</f>
        <v>OK</v>
      </c>
    </row>
    <row r="16" customFormat="false" ht="15" hidden="false" customHeight="false" outlineLevel="0" collapsed="false">
      <c r="A16" s="22" t="s">
        <v>321</v>
      </c>
      <c r="B16" s="23" t="s">
        <v>59</v>
      </c>
      <c r="C16" s="24" t="n">
        <f aca="false">SUMPRODUCT(--ISNUMBER(SEARCH($A16,ActivityUX!$I$5:$I$65)))</f>
        <v>2</v>
      </c>
      <c r="D16" s="24" t="n">
        <f aca="false">SUMPRODUCT(--ISNUMBER(SEARCH($A16,ActivityUX!$I$5:$I$65)),--((ActivityUX!$E$5:$E$65="Practice")+(ActivityUX!$E$5:$E$65="Present")&gt;0))</f>
        <v>1</v>
      </c>
      <c r="E16" s="24" t="n">
        <f aca="false">SUMPRODUCT(--ISNUMBER(SEARCH($A16,ActivityUX!$I$5:$I$65)),--(ActivityUX!$E$5:$E$65="Assess"))</f>
        <v>1</v>
      </c>
      <c r="F16" s="24" t="n">
        <f aca="false">SUMPRODUCT(--ISNUMBER(SEARCH($A16,ActivityUX!$I$5:$I$65)),--(ActivityUX!$E$5:$E$65="Reflect"))</f>
        <v>0</v>
      </c>
      <c r="G16" s="24" t="n">
        <f aca="false">SUMPRODUCT(--ISNUMBER(SEARCH($A16,ActivityUX!$I$5:$I$65)),--(ActivityUX!$P$5:$P$65="Fall"))</f>
        <v>2</v>
      </c>
      <c r="H16" s="23" t="str">
        <f aca="false">IF(C16=0,"NOT COVERED",IF(G16=0,"Spring only",IF(AND(E16=0,F16&gt;0),"OK, trend measure",IF(E16=0,"Taught but never scored",IF(D16+F16=0,"Scored without practice","OK")))))</f>
        <v>OK</v>
      </c>
    </row>
    <row r="17" customFormat="false" ht="15" hidden="false" customHeight="false" outlineLevel="0" collapsed="false">
      <c r="A17" s="22" t="s">
        <v>336</v>
      </c>
      <c r="B17" s="23" t="s">
        <v>59</v>
      </c>
      <c r="C17" s="24" t="n">
        <f aca="false">SUMPRODUCT(--ISNUMBER(SEARCH($A17,ActivityUX!$I$5:$I$65)))</f>
        <v>2</v>
      </c>
      <c r="D17" s="24" t="n">
        <f aca="false">SUMPRODUCT(--ISNUMBER(SEARCH($A17,ActivityUX!$I$5:$I$65)),--((ActivityUX!$E$5:$E$65="Practice")+(ActivityUX!$E$5:$E$65="Present")&gt;0))</f>
        <v>1</v>
      </c>
      <c r="E17" s="24" t="n">
        <f aca="false">SUMPRODUCT(--ISNUMBER(SEARCH($A17,ActivityUX!$I$5:$I$65)),--(ActivityUX!$E$5:$E$65="Assess"))</f>
        <v>1</v>
      </c>
      <c r="F17" s="24" t="n">
        <f aca="false">SUMPRODUCT(--ISNUMBER(SEARCH($A17,ActivityUX!$I$5:$I$65)),--(ActivityUX!$E$5:$E$65="Reflect"))</f>
        <v>0</v>
      </c>
      <c r="G17" s="24" t="n">
        <f aca="false">SUMPRODUCT(--ISNUMBER(SEARCH($A17,ActivityUX!$I$5:$I$65)),--(ActivityUX!$P$5:$P$65="Fall"))</f>
        <v>2</v>
      </c>
      <c r="H17" s="23" t="str">
        <f aca="false">IF(C17=0,"NOT COVERED",IF(G17=0,"Spring only",IF(AND(E17=0,F17&gt;0),"OK, trend measure",IF(E17=0,"Taught but never scored",IF(D17+F17=0,"Scored without practice","OK")))))</f>
        <v>OK</v>
      </c>
    </row>
    <row r="18" customFormat="false" ht="15" hidden="false" customHeight="false" outlineLevel="0" collapsed="false">
      <c r="A18" s="22" t="s">
        <v>591</v>
      </c>
      <c r="B18" s="23" t="s">
        <v>72</v>
      </c>
      <c r="C18" s="24" t="n">
        <f aca="false">SUMPRODUCT(--ISNUMBER(SEARCH($A18,ActivityUX!$I$5:$I$65)))</f>
        <v>2</v>
      </c>
      <c r="D18" s="24" t="n">
        <f aca="false">SUMPRODUCT(--ISNUMBER(SEARCH($A18,ActivityUX!$I$5:$I$65)),--((ActivityUX!$E$5:$E$65="Practice")+(ActivityUX!$E$5:$E$65="Present")&gt;0))</f>
        <v>1</v>
      </c>
      <c r="E18" s="24" t="n">
        <f aca="false">SUMPRODUCT(--ISNUMBER(SEARCH($A18,ActivityUX!$I$5:$I$65)),--(ActivityUX!$E$5:$E$65="Assess"))</f>
        <v>1</v>
      </c>
      <c r="F18" s="24" t="n">
        <f aca="false">SUMPRODUCT(--ISNUMBER(SEARCH($A18,ActivityUX!$I$5:$I$65)),--(ActivityUX!$E$5:$E$65="Reflect"))</f>
        <v>0</v>
      </c>
      <c r="G18" s="24" t="n">
        <f aca="false">SUMPRODUCT(--ISNUMBER(SEARCH($A18,ActivityUX!$I$5:$I$65)),--(ActivityUX!$P$5:$P$65="Fall"))</f>
        <v>2</v>
      </c>
      <c r="H18" s="23" t="str">
        <f aca="false">IF(C18=0,"NOT COVERED",IF(G18=0,"Spring only",IF(AND(E18=0,F18&gt;0),"OK, trend measure",IF(E18=0,"Taught but never scored",IF(D18+F18=0,"Scored without practice","OK")))))</f>
        <v>OK</v>
      </c>
    </row>
    <row r="19" customFormat="false" ht="15" hidden="false" customHeight="false" outlineLevel="0" collapsed="false">
      <c r="A19" s="22" t="s">
        <v>351</v>
      </c>
      <c r="B19" s="23" t="s">
        <v>72</v>
      </c>
      <c r="C19" s="24" t="n">
        <f aca="false">SUMPRODUCT(--ISNUMBER(SEARCH($A19,ActivityUX!$I$5:$I$65)))</f>
        <v>2</v>
      </c>
      <c r="D19" s="24" t="n">
        <f aca="false">SUMPRODUCT(--ISNUMBER(SEARCH($A19,ActivityUX!$I$5:$I$65)),--((ActivityUX!$E$5:$E$65="Practice")+(ActivityUX!$E$5:$E$65="Present")&gt;0))</f>
        <v>1</v>
      </c>
      <c r="E19" s="24" t="n">
        <f aca="false">SUMPRODUCT(--ISNUMBER(SEARCH($A19,ActivityUX!$I$5:$I$65)),--(ActivityUX!$E$5:$E$65="Assess"))</f>
        <v>1</v>
      </c>
      <c r="F19" s="24" t="n">
        <f aca="false">SUMPRODUCT(--ISNUMBER(SEARCH($A19,ActivityUX!$I$5:$I$65)),--(ActivityUX!$E$5:$E$65="Reflect"))</f>
        <v>0</v>
      </c>
      <c r="G19" s="24" t="n">
        <f aca="false">SUMPRODUCT(--ISNUMBER(SEARCH($A19,ActivityUX!$I$5:$I$65)),--(ActivityUX!$P$5:$P$65="Fall"))</f>
        <v>2</v>
      </c>
      <c r="H19" s="23" t="str">
        <f aca="false">IF(C19=0,"NOT COVERED",IF(G19=0,"Spring only",IF(AND(E19=0,F19&gt;0),"OK, trend measure",IF(E19=0,"Taught but never scored",IF(D19+F19=0,"Scored without practice","OK")))))</f>
        <v>OK</v>
      </c>
    </row>
    <row r="20" customFormat="false" ht="15" hidden="false" customHeight="false" outlineLevel="0" collapsed="false">
      <c r="A20" s="22" t="s">
        <v>592</v>
      </c>
      <c r="B20" s="23" t="s">
        <v>72</v>
      </c>
      <c r="C20" s="24" t="n">
        <f aca="false">SUMPRODUCT(--ISNUMBER(SEARCH($A20,ActivityUX!$I$5:$I$65)))</f>
        <v>3</v>
      </c>
      <c r="D20" s="24" t="n">
        <f aca="false">SUMPRODUCT(--ISNUMBER(SEARCH($A20,ActivityUX!$I$5:$I$65)),--((ActivityUX!$E$5:$E$65="Practice")+(ActivityUX!$E$5:$E$65="Present")&gt;0))</f>
        <v>2</v>
      </c>
      <c r="E20" s="24" t="n">
        <f aca="false">SUMPRODUCT(--ISNUMBER(SEARCH($A20,ActivityUX!$I$5:$I$65)),--(ActivityUX!$E$5:$E$65="Assess"))</f>
        <v>1</v>
      </c>
      <c r="F20" s="24" t="n">
        <f aca="false">SUMPRODUCT(--ISNUMBER(SEARCH($A20,ActivityUX!$I$5:$I$65)),--(ActivityUX!$E$5:$E$65="Reflect"))</f>
        <v>0</v>
      </c>
      <c r="G20" s="24" t="n">
        <f aca="false">SUMPRODUCT(--ISNUMBER(SEARCH($A20,ActivityUX!$I$5:$I$65)),--(ActivityUX!$P$5:$P$65="Fall"))</f>
        <v>3</v>
      </c>
      <c r="H20" s="23" t="str">
        <f aca="false">IF(C20=0,"NOT COVERED",IF(G20=0,"Spring only",IF(AND(E20=0,F20&gt;0),"OK, trend measure",IF(E20=0,"Taught but never scored",IF(D20+F20=0,"Scored without practice","OK")))))</f>
        <v>OK</v>
      </c>
    </row>
    <row r="21" customFormat="false" ht="15" hidden="false" customHeight="false" outlineLevel="0" collapsed="false">
      <c r="A21" s="22" t="s">
        <v>389</v>
      </c>
      <c r="B21" s="23" t="s">
        <v>72</v>
      </c>
      <c r="C21" s="24" t="n">
        <f aca="false">SUMPRODUCT(--ISNUMBER(SEARCH($A21,ActivityUX!$I$5:$I$65)))</f>
        <v>2</v>
      </c>
      <c r="D21" s="24" t="n">
        <f aca="false">SUMPRODUCT(--ISNUMBER(SEARCH($A21,ActivityUX!$I$5:$I$65)),--((ActivityUX!$E$5:$E$65="Practice")+(ActivityUX!$E$5:$E$65="Present")&gt;0))</f>
        <v>1</v>
      </c>
      <c r="E21" s="24" t="n">
        <f aca="false">SUMPRODUCT(--ISNUMBER(SEARCH($A21,ActivityUX!$I$5:$I$65)),--(ActivityUX!$E$5:$E$65="Assess"))</f>
        <v>1</v>
      </c>
      <c r="F21" s="24" t="n">
        <f aca="false">SUMPRODUCT(--ISNUMBER(SEARCH($A21,ActivityUX!$I$5:$I$65)),--(ActivityUX!$E$5:$E$65="Reflect"))</f>
        <v>0</v>
      </c>
      <c r="G21" s="24" t="n">
        <f aca="false">SUMPRODUCT(--ISNUMBER(SEARCH($A21,ActivityUX!$I$5:$I$65)),--(ActivityUX!$P$5:$P$65="Fall"))</f>
        <v>2</v>
      </c>
      <c r="H21" s="23" t="str">
        <f aca="false">IF(C21=0,"NOT COVERED",IF(G21=0,"Spring only",IF(AND(E21=0,F21&gt;0),"OK, trend measure",IF(E21=0,"Taught but never scored",IF(D21+F21=0,"Scored without practice","OK")))))</f>
        <v>OK</v>
      </c>
    </row>
    <row r="22" customFormat="false" ht="15" hidden="false" customHeight="false" outlineLevel="0" collapsed="false">
      <c r="A22" s="22" t="s">
        <v>593</v>
      </c>
      <c r="B22" s="23" t="s">
        <v>72</v>
      </c>
      <c r="C22" s="24" t="n">
        <f aca="false">SUMPRODUCT(--ISNUMBER(SEARCH($A22,ActivityUX!$I$5:$I$65)))</f>
        <v>2</v>
      </c>
      <c r="D22" s="24" t="n">
        <f aca="false">SUMPRODUCT(--ISNUMBER(SEARCH($A22,ActivityUX!$I$5:$I$65)),--((ActivityUX!$E$5:$E$65="Practice")+(ActivityUX!$E$5:$E$65="Present")&gt;0))</f>
        <v>1</v>
      </c>
      <c r="E22" s="24" t="n">
        <f aca="false">SUMPRODUCT(--ISNUMBER(SEARCH($A22,ActivityUX!$I$5:$I$65)),--(ActivityUX!$E$5:$E$65="Assess"))</f>
        <v>1</v>
      </c>
      <c r="F22" s="24" t="n">
        <f aca="false">SUMPRODUCT(--ISNUMBER(SEARCH($A22,ActivityUX!$I$5:$I$65)),--(ActivityUX!$E$5:$E$65="Reflect"))</f>
        <v>0</v>
      </c>
      <c r="G22" s="24" t="n">
        <f aca="false">SUMPRODUCT(--ISNUMBER(SEARCH($A22,ActivityUX!$I$5:$I$65)),--(ActivityUX!$P$5:$P$65="Fall"))</f>
        <v>2</v>
      </c>
      <c r="H22" s="23" t="str">
        <f aca="false">IF(C22=0,"NOT COVERED",IF(G22=0,"Spring only",IF(AND(E22=0,F22&gt;0),"OK, trend measure",IF(E22=0,"Taught but never scored",IF(D22+F22=0,"Scored without practice","OK")))))</f>
        <v>OK</v>
      </c>
    </row>
    <row r="23" customFormat="false" ht="15" hidden="false" customHeight="false" outlineLevel="0" collapsed="false">
      <c r="A23" s="22" t="s">
        <v>594</v>
      </c>
      <c r="B23" s="23" t="s">
        <v>72</v>
      </c>
      <c r="C23" s="24" t="n">
        <f aca="false">SUMPRODUCT(--ISNUMBER(SEARCH($A23,ActivityUX!$I$5:$I$65)))</f>
        <v>2</v>
      </c>
      <c r="D23" s="24" t="n">
        <f aca="false">SUMPRODUCT(--ISNUMBER(SEARCH($A23,ActivityUX!$I$5:$I$65)),--((ActivityUX!$E$5:$E$65="Practice")+(ActivityUX!$E$5:$E$65="Present")&gt;0))</f>
        <v>1</v>
      </c>
      <c r="E23" s="24" t="n">
        <f aca="false">SUMPRODUCT(--ISNUMBER(SEARCH($A23,ActivityUX!$I$5:$I$65)),--(ActivityUX!$E$5:$E$65="Assess"))</f>
        <v>1</v>
      </c>
      <c r="F23" s="24" t="n">
        <f aca="false">SUMPRODUCT(--ISNUMBER(SEARCH($A23,ActivityUX!$I$5:$I$65)),--(ActivityUX!$E$5:$E$65="Reflect"))</f>
        <v>0</v>
      </c>
      <c r="G23" s="24" t="n">
        <f aca="false">SUMPRODUCT(--ISNUMBER(SEARCH($A23,ActivityUX!$I$5:$I$65)),--(ActivityUX!$P$5:$P$65="Fall"))</f>
        <v>2</v>
      </c>
      <c r="H23" s="23" t="str">
        <f aca="false">IF(C23=0,"NOT COVERED",IF(G23=0,"Spring only",IF(AND(E23=0,F23&gt;0),"OK, trend measure",IF(E23=0,"Taught but never scored",IF(D23+F23=0,"Scored without practice","OK")))))</f>
        <v>OK</v>
      </c>
    </row>
    <row r="24" customFormat="false" ht="15" hidden="false" customHeight="false" outlineLevel="0" collapsed="false">
      <c r="A24" s="22" t="s">
        <v>405</v>
      </c>
      <c r="B24" s="23" t="s">
        <v>81</v>
      </c>
      <c r="C24" s="24" t="n">
        <f aca="false">SUMPRODUCT(--ISNUMBER(SEARCH($A24,ActivityUX!$I$5:$I$65)))</f>
        <v>2</v>
      </c>
      <c r="D24" s="24" t="n">
        <f aca="false">SUMPRODUCT(--ISNUMBER(SEARCH($A24,ActivityUX!$I$5:$I$65)),--((ActivityUX!$E$5:$E$65="Practice")+(ActivityUX!$E$5:$E$65="Present")&gt;0))</f>
        <v>1</v>
      </c>
      <c r="E24" s="24" t="n">
        <f aca="false">SUMPRODUCT(--ISNUMBER(SEARCH($A24,ActivityUX!$I$5:$I$65)),--(ActivityUX!$E$5:$E$65="Assess"))</f>
        <v>1</v>
      </c>
      <c r="F24" s="24" t="n">
        <f aca="false">SUMPRODUCT(--ISNUMBER(SEARCH($A24,ActivityUX!$I$5:$I$65)),--(ActivityUX!$E$5:$E$65="Reflect"))</f>
        <v>0</v>
      </c>
      <c r="G24" s="24" t="n">
        <f aca="false">SUMPRODUCT(--ISNUMBER(SEARCH($A24,ActivityUX!$I$5:$I$65)),--(ActivityUX!$P$5:$P$65="Fall"))</f>
        <v>2</v>
      </c>
      <c r="H24" s="23" t="str">
        <f aca="false">IF(C24=0,"NOT COVERED",IF(G24=0,"Spring only",IF(AND(E24=0,F24&gt;0),"OK, trend measure",IF(E24=0,"Taught but never scored",IF(D24+F24=0,"Scored without practice","OK")))))</f>
        <v>OK</v>
      </c>
    </row>
    <row r="25" customFormat="false" ht="15" hidden="false" customHeight="false" outlineLevel="0" collapsed="false">
      <c r="A25" s="22" t="s">
        <v>595</v>
      </c>
      <c r="B25" s="23" t="s">
        <v>81</v>
      </c>
      <c r="C25" s="24" t="n">
        <f aca="false">SUMPRODUCT(--ISNUMBER(SEARCH($A25,ActivityUX!$I$5:$I$65)))</f>
        <v>5</v>
      </c>
      <c r="D25" s="24" t="n">
        <f aca="false">SUMPRODUCT(--ISNUMBER(SEARCH($A25,ActivityUX!$I$5:$I$65)),--((ActivityUX!$E$5:$E$65="Practice")+(ActivityUX!$E$5:$E$65="Present")&gt;0))</f>
        <v>4</v>
      </c>
      <c r="E25" s="24" t="n">
        <f aca="false">SUMPRODUCT(--ISNUMBER(SEARCH($A25,ActivityUX!$I$5:$I$65)),--(ActivityUX!$E$5:$E$65="Assess"))</f>
        <v>1</v>
      </c>
      <c r="F25" s="24" t="n">
        <f aca="false">SUMPRODUCT(--ISNUMBER(SEARCH($A25,ActivityUX!$I$5:$I$65)),--(ActivityUX!$E$5:$E$65="Reflect"))</f>
        <v>0</v>
      </c>
      <c r="G25" s="24" t="n">
        <f aca="false">SUMPRODUCT(--ISNUMBER(SEARCH($A25,ActivityUX!$I$5:$I$65)),--(ActivityUX!$P$5:$P$65="Fall"))</f>
        <v>5</v>
      </c>
      <c r="H25" s="23" t="str">
        <f aca="false">IF(C25=0,"NOT COVERED",IF(G25=0,"Spring only",IF(AND(E25=0,F25&gt;0),"OK, trend measure",IF(E25=0,"Taught but never scored",IF(D25+F25=0,"Scored without practice","OK")))))</f>
        <v>OK</v>
      </c>
    </row>
    <row r="26" customFormat="false" ht="15" hidden="false" customHeight="false" outlineLevel="0" collapsed="false">
      <c r="A26" s="22" t="s">
        <v>596</v>
      </c>
      <c r="B26" s="23" t="s">
        <v>81</v>
      </c>
      <c r="C26" s="24" t="n">
        <f aca="false">SUMPRODUCT(--ISNUMBER(SEARCH($A26,ActivityUX!$I$5:$I$65)))</f>
        <v>5</v>
      </c>
      <c r="D26" s="24" t="n">
        <f aca="false">SUMPRODUCT(--ISNUMBER(SEARCH($A26,ActivityUX!$I$5:$I$65)),--((ActivityUX!$E$5:$E$65="Practice")+(ActivityUX!$E$5:$E$65="Present")&gt;0))</f>
        <v>4</v>
      </c>
      <c r="E26" s="24" t="n">
        <f aca="false">SUMPRODUCT(--ISNUMBER(SEARCH($A26,ActivityUX!$I$5:$I$65)),--(ActivityUX!$E$5:$E$65="Assess"))</f>
        <v>1</v>
      </c>
      <c r="F26" s="24" t="n">
        <f aca="false">SUMPRODUCT(--ISNUMBER(SEARCH($A26,ActivityUX!$I$5:$I$65)),--(ActivityUX!$E$5:$E$65="Reflect"))</f>
        <v>0</v>
      </c>
      <c r="G26" s="24" t="n">
        <f aca="false">SUMPRODUCT(--ISNUMBER(SEARCH($A26,ActivityUX!$I$5:$I$65)),--(ActivityUX!$P$5:$P$65="Fall"))</f>
        <v>5</v>
      </c>
      <c r="H26" s="23" t="str">
        <f aca="false">IF(C26=0,"NOT COVERED",IF(G26=0,"Spring only",IF(AND(E26=0,F26&gt;0),"OK, trend measure",IF(E26=0,"Taught but never scored",IF(D26+F26=0,"Scored without practice","OK")))))</f>
        <v>OK</v>
      </c>
    </row>
    <row r="27" customFormat="false" ht="15" hidden="false" customHeight="false" outlineLevel="0" collapsed="false">
      <c r="A27" s="22" t="s">
        <v>462</v>
      </c>
      <c r="B27" s="23" t="s">
        <v>81</v>
      </c>
      <c r="C27" s="24" t="n">
        <f aca="false">SUMPRODUCT(--ISNUMBER(SEARCH($A27,ActivityUX!$I$5:$I$65)))</f>
        <v>2</v>
      </c>
      <c r="D27" s="24" t="n">
        <f aca="false">SUMPRODUCT(--ISNUMBER(SEARCH($A27,ActivityUX!$I$5:$I$65)),--((ActivityUX!$E$5:$E$65="Practice")+(ActivityUX!$E$5:$E$65="Present")&gt;0))</f>
        <v>1</v>
      </c>
      <c r="E27" s="24" t="n">
        <f aca="false">SUMPRODUCT(--ISNUMBER(SEARCH($A27,ActivityUX!$I$5:$I$65)),--(ActivityUX!$E$5:$E$65="Assess"))</f>
        <v>1</v>
      </c>
      <c r="F27" s="24" t="n">
        <f aca="false">SUMPRODUCT(--ISNUMBER(SEARCH($A27,ActivityUX!$I$5:$I$65)),--(ActivityUX!$E$5:$E$65="Reflect"))</f>
        <v>0</v>
      </c>
      <c r="G27" s="24" t="n">
        <f aca="false">SUMPRODUCT(--ISNUMBER(SEARCH($A27,ActivityUX!$I$5:$I$65)),--(ActivityUX!$P$5:$P$65="Fall"))</f>
        <v>0</v>
      </c>
      <c r="H27" s="23" t="str">
        <f aca="false">IF(C27=0,"NOT COVERED",IF(G27=0,"Spring only",IF(AND(E27=0,F27&gt;0),"OK, trend measure",IF(E27=0,"Taught but never scored",IF(D27+F27=0,"Scored without practice","OK")))))</f>
        <v>Spring only</v>
      </c>
    </row>
    <row r="28" customFormat="false" ht="15" hidden="false" customHeight="false" outlineLevel="0" collapsed="false">
      <c r="A28" s="22" t="s">
        <v>469</v>
      </c>
      <c r="B28" s="23" t="s">
        <v>81</v>
      </c>
      <c r="C28" s="24" t="n">
        <f aca="false">SUMPRODUCT(--ISNUMBER(SEARCH($A28,ActivityUX!$I$5:$I$65)))</f>
        <v>2</v>
      </c>
      <c r="D28" s="24" t="n">
        <f aca="false">SUMPRODUCT(--ISNUMBER(SEARCH($A28,ActivityUX!$I$5:$I$65)),--((ActivityUX!$E$5:$E$65="Practice")+(ActivityUX!$E$5:$E$65="Present")&gt;0))</f>
        <v>1</v>
      </c>
      <c r="E28" s="24" t="n">
        <f aca="false">SUMPRODUCT(--ISNUMBER(SEARCH($A28,ActivityUX!$I$5:$I$65)),--(ActivityUX!$E$5:$E$65="Assess"))</f>
        <v>1</v>
      </c>
      <c r="F28" s="24" t="n">
        <f aca="false">SUMPRODUCT(--ISNUMBER(SEARCH($A28,ActivityUX!$I$5:$I$65)),--(ActivityUX!$E$5:$E$65="Reflect"))</f>
        <v>0</v>
      </c>
      <c r="G28" s="24" t="n">
        <f aca="false">SUMPRODUCT(--ISNUMBER(SEARCH($A28,ActivityUX!$I$5:$I$65)),--(ActivityUX!$P$5:$P$65="Fall"))</f>
        <v>0</v>
      </c>
      <c r="H28" s="23" t="str">
        <f aca="false">IF(C28=0,"NOT COVERED",IF(G28=0,"Spring only",IF(AND(E28=0,F28&gt;0),"OK, trend measure",IF(E28=0,"Taught but never scored",IF(D28+F28=0,"Scored without practice","OK")))))</f>
        <v>Spring only</v>
      </c>
    </row>
    <row r="29" customFormat="false" ht="15" hidden="false" customHeight="false" outlineLevel="0" collapsed="false">
      <c r="A29" s="22" t="s">
        <v>446</v>
      </c>
      <c r="B29" s="23" t="s">
        <v>81</v>
      </c>
      <c r="C29" s="24" t="n">
        <f aca="false">SUMPRODUCT(--ISNUMBER(SEARCH($A29,ActivityUX!$I$5:$I$65)))</f>
        <v>3</v>
      </c>
      <c r="D29" s="24" t="n">
        <f aca="false">SUMPRODUCT(--ISNUMBER(SEARCH($A29,ActivityUX!$I$5:$I$65)),--((ActivityUX!$E$5:$E$65="Practice")+(ActivityUX!$E$5:$E$65="Present")&gt;0))</f>
        <v>1</v>
      </c>
      <c r="E29" s="24" t="n">
        <f aca="false">SUMPRODUCT(--ISNUMBER(SEARCH($A29,ActivityUX!$I$5:$I$65)),--(ActivityUX!$E$5:$E$65="Assess"))</f>
        <v>1</v>
      </c>
      <c r="F29" s="24" t="n">
        <f aca="false">SUMPRODUCT(--ISNUMBER(SEARCH($A29,ActivityUX!$I$5:$I$65)),--(ActivityUX!$E$5:$E$65="Reflect"))</f>
        <v>1</v>
      </c>
      <c r="G29" s="24" t="n">
        <f aca="false">SUMPRODUCT(--ISNUMBER(SEARCH($A29,ActivityUX!$I$5:$I$65)),--(ActivityUX!$P$5:$P$65="Fall"))</f>
        <v>3</v>
      </c>
      <c r="H29" s="23" t="str">
        <f aca="false">IF(C29=0,"NOT COVERED",IF(G29=0,"Spring only",IF(AND(E29=0,F29&gt;0),"OK, trend measure",IF(E29=0,"Taught but never scored",IF(D29+F29=0,"Scored without practice","OK")))))</f>
        <v>OK</v>
      </c>
    </row>
    <row r="30" customFormat="false" ht="15" hidden="false" customHeight="false" outlineLevel="0" collapsed="false">
      <c r="A30" s="22" t="s">
        <v>476</v>
      </c>
      <c r="B30" s="23" t="s">
        <v>81</v>
      </c>
      <c r="C30" s="24" t="n">
        <f aca="false">SUMPRODUCT(--ISNUMBER(SEARCH($A30,ActivityUX!$I$5:$I$65)))</f>
        <v>2</v>
      </c>
      <c r="D30" s="24" t="n">
        <f aca="false">SUMPRODUCT(--ISNUMBER(SEARCH($A30,ActivityUX!$I$5:$I$65)),--((ActivityUX!$E$5:$E$65="Practice")+(ActivityUX!$E$5:$E$65="Present")&gt;0))</f>
        <v>1</v>
      </c>
      <c r="E30" s="24" t="n">
        <f aca="false">SUMPRODUCT(--ISNUMBER(SEARCH($A30,ActivityUX!$I$5:$I$65)),--(ActivityUX!$E$5:$E$65="Assess"))</f>
        <v>1</v>
      </c>
      <c r="F30" s="24" t="n">
        <f aca="false">SUMPRODUCT(--ISNUMBER(SEARCH($A30,ActivityUX!$I$5:$I$65)),--(ActivityUX!$E$5:$E$65="Reflect"))</f>
        <v>0</v>
      </c>
      <c r="G30" s="24" t="n">
        <f aca="false">SUMPRODUCT(--ISNUMBER(SEARCH($A30,ActivityUX!$I$5:$I$65)),--(ActivityUX!$P$5:$P$65="Fall"))</f>
        <v>0</v>
      </c>
      <c r="H30" s="23" t="str">
        <f aca="false">IF(C30=0,"NOT COVERED",IF(G30=0,"Spring only",IF(AND(E30=0,F30&gt;0),"OK, trend measure",IF(E30=0,"Taught but never scored",IF(D30+F30=0,"Scored without practice","OK")))))</f>
        <v>Spring only</v>
      </c>
    </row>
    <row r="31" customFormat="false" ht="15" hidden="false" customHeight="false" outlineLevel="0" collapsed="false">
      <c r="A31" s="22" t="s">
        <v>482</v>
      </c>
      <c r="B31" s="23" t="s">
        <v>81</v>
      </c>
      <c r="C31" s="24" t="n">
        <f aca="false">SUMPRODUCT(--ISNUMBER(SEARCH($A31,ActivityUX!$I$5:$I$65)))</f>
        <v>2</v>
      </c>
      <c r="D31" s="24" t="n">
        <f aca="false">SUMPRODUCT(--ISNUMBER(SEARCH($A31,ActivityUX!$I$5:$I$65)),--((ActivityUX!$E$5:$E$65="Practice")+(ActivityUX!$E$5:$E$65="Present")&gt;0))</f>
        <v>1</v>
      </c>
      <c r="E31" s="24" t="n">
        <f aca="false">SUMPRODUCT(--ISNUMBER(SEARCH($A31,ActivityUX!$I$5:$I$65)),--(ActivityUX!$E$5:$E$65="Assess"))</f>
        <v>1</v>
      </c>
      <c r="F31" s="24" t="n">
        <f aca="false">SUMPRODUCT(--ISNUMBER(SEARCH($A31,ActivityUX!$I$5:$I$65)),--(ActivityUX!$E$5:$E$65="Reflect"))</f>
        <v>0</v>
      </c>
      <c r="G31" s="24" t="n">
        <f aca="false">SUMPRODUCT(--ISNUMBER(SEARCH($A31,ActivityUX!$I$5:$I$65)),--(ActivityUX!$P$5:$P$65="Fall"))</f>
        <v>2</v>
      </c>
      <c r="H31" s="23" t="str">
        <f aca="false">IF(C31=0,"NOT COVERED",IF(G31=0,"Spring only",IF(AND(E31=0,F31&gt;0),"OK, trend measure",IF(E31=0,"Taught but never scored",IF(D31+F31=0,"Scored without practice","OK")))))</f>
        <v>OK</v>
      </c>
    </row>
    <row r="32" customFormat="false" ht="15" hidden="false" customHeight="false" outlineLevel="0" collapsed="false">
      <c r="A32" s="22" t="s">
        <v>597</v>
      </c>
      <c r="B32" s="23" t="s">
        <v>90</v>
      </c>
      <c r="C32" s="24" t="n">
        <f aca="false">SUMPRODUCT(--ISNUMBER(SEARCH($A32,ActivityUX!$I$5:$I$65)))</f>
        <v>2</v>
      </c>
      <c r="D32" s="24" t="n">
        <f aca="false">SUMPRODUCT(--ISNUMBER(SEARCH($A32,ActivityUX!$I$5:$I$65)),--((ActivityUX!$E$5:$E$65="Practice")+(ActivityUX!$E$5:$E$65="Present")&gt;0))</f>
        <v>1</v>
      </c>
      <c r="E32" s="24" t="n">
        <f aca="false">SUMPRODUCT(--ISNUMBER(SEARCH($A32,ActivityUX!$I$5:$I$65)),--(ActivityUX!$E$5:$E$65="Assess"))</f>
        <v>1</v>
      </c>
      <c r="F32" s="24" t="n">
        <f aca="false">SUMPRODUCT(--ISNUMBER(SEARCH($A32,ActivityUX!$I$5:$I$65)),--(ActivityUX!$E$5:$E$65="Reflect"))</f>
        <v>0</v>
      </c>
      <c r="G32" s="24" t="n">
        <f aca="false">SUMPRODUCT(--ISNUMBER(SEARCH($A32,ActivityUX!$I$5:$I$65)),--(ActivityUX!$P$5:$P$65="Fall"))</f>
        <v>2</v>
      </c>
      <c r="H32" s="23" t="str">
        <f aca="false">IF(C32=0,"NOT COVERED",IF(G32=0,"Spring only",IF(AND(E32=0,F32&gt;0),"OK, trend measure",IF(E32=0,"Taught but never scored",IF(D32+F32=0,"Scored without practice","OK")))))</f>
        <v>OK</v>
      </c>
    </row>
    <row r="33" customFormat="false" ht="15" hidden="false" customHeight="false" outlineLevel="0" collapsed="false">
      <c r="A33" s="22" t="s">
        <v>598</v>
      </c>
      <c r="B33" s="23" t="s">
        <v>90</v>
      </c>
      <c r="C33" s="24" t="n">
        <f aca="false">SUMPRODUCT(--ISNUMBER(SEARCH($A33,ActivityUX!$I$5:$I$65)))</f>
        <v>2</v>
      </c>
      <c r="D33" s="24" t="n">
        <f aca="false">SUMPRODUCT(--ISNUMBER(SEARCH($A33,ActivityUX!$I$5:$I$65)),--((ActivityUX!$E$5:$E$65="Practice")+(ActivityUX!$E$5:$E$65="Present")&gt;0))</f>
        <v>1</v>
      </c>
      <c r="E33" s="24" t="n">
        <f aca="false">SUMPRODUCT(--ISNUMBER(SEARCH($A33,ActivityUX!$I$5:$I$65)),--(ActivityUX!$E$5:$E$65="Assess"))</f>
        <v>1</v>
      </c>
      <c r="F33" s="24" t="n">
        <f aca="false">SUMPRODUCT(--ISNUMBER(SEARCH($A33,ActivityUX!$I$5:$I$65)),--(ActivityUX!$E$5:$E$65="Reflect"))</f>
        <v>0</v>
      </c>
      <c r="G33" s="24" t="n">
        <f aca="false">SUMPRODUCT(--ISNUMBER(SEARCH($A33,ActivityUX!$I$5:$I$65)),--(ActivityUX!$P$5:$P$65="Fall"))</f>
        <v>2</v>
      </c>
      <c r="H33" s="23" t="str">
        <f aca="false">IF(C33=0,"NOT COVERED",IF(G33=0,"Spring only",IF(AND(E33=0,F33&gt;0),"OK, trend measure",IF(E33=0,"Taught but never scored",IF(D33+F33=0,"Scored without practice","OK")))))</f>
        <v>OK</v>
      </c>
    </row>
    <row r="34" customFormat="false" ht="15" hidden="false" customHeight="false" outlineLevel="0" collapsed="false">
      <c r="A34" s="22" t="s">
        <v>531</v>
      </c>
      <c r="B34" s="23" t="s">
        <v>90</v>
      </c>
      <c r="C34" s="24" t="n">
        <f aca="false">SUMPRODUCT(--ISNUMBER(SEARCH($A34,ActivityUX!$I$5:$I$65)))</f>
        <v>1</v>
      </c>
      <c r="D34" s="24" t="n">
        <f aca="false">SUMPRODUCT(--ISNUMBER(SEARCH($A34,ActivityUX!$I$5:$I$65)),--((ActivityUX!$E$5:$E$65="Practice")+(ActivityUX!$E$5:$E$65="Present")&gt;0))</f>
        <v>0</v>
      </c>
      <c r="E34" s="24" t="n">
        <f aca="false">SUMPRODUCT(--ISNUMBER(SEARCH($A34,ActivityUX!$I$5:$I$65)),--(ActivityUX!$E$5:$E$65="Assess"))</f>
        <v>1</v>
      </c>
      <c r="F34" s="24" t="n">
        <f aca="false">SUMPRODUCT(--ISNUMBER(SEARCH($A34,ActivityUX!$I$5:$I$65)),--(ActivityUX!$E$5:$E$65="Reflect"))</f>
        <v>0</v>
      </c>
      <c r="G34" s="24" t="n">
        <f aca="false">SUMPRODUCT(--ISNUMBER(SEARCH($A34,ActivityUX!$I$5:$I$65)),--(ActivityUX!$P$5:$P$65="Fall"))</f>
        <v>0</v>
      </c>
      <c r="H34" s="23" t="str">
        <f aca="false">IF(C34=0,"NOT COVERED",IF(G34=0,"Spring only",IF(AND(E34=0,F34&gt;0),"OK, trend measure",IF(E34=0,"Taught but never scored",IF(D34+F34=0,"Scored without practice","OK")))))</f>
        <v>Spring only</v>
      </c>
    </row>
    <row r="35" customFormat="false" ht="15" hidden="false" customHeight="false" outlineLevel="0" collapsed="false">
      <c r="A35" s="22" t="s">
        <v>511</v>
      </c>
      <c r="B35" s="23" t="s">
        <v>90</v>
      </c>
      <c r="C35" s="24" t="n">
        <f aca="false">SUMPRODUCT(--ISNUMBER(SEARCH($A35,ActivityUX!$I$5:$I$65)))</f>
        <v>2</v>
      </c>
      <c r="D35" s="24" t="n">
        <f aca="false">SUMPRODUCT(--ISNUMBER(SEARCH($A35,ActivityUX!$I$5:$I$65)),--((ActivityUX!$E$5:$E$65="Practice")+(ActivityUX!$E$5:$E$65="Present")&gt;0))</f>
        <v>1</v>
      </c>
      <c r="E35" s="24" t="n">
        <f aca="false">SUMPRODUCT(--ISNUMBER(SEARCH($A35,ActivityUX!$I$5:$I$65)),--(ActivityUX!$E$5:$E$65="Assess"))</f>
        <v>1</v>
      </c>
      <c r="F35" s="24" t="n">
        <f aca="false">SUMPRODUCT(--ISNUMBER(SEARCH($A35,ActivityUX!$I$5:$I$65)),--(ActivityUX!$E$5:$E$65="Reflect"))</f>
        <v>0</v>
      </c>
      <c r="G35" s="24" t="n">
        <f aca="false">SUMPRODUCT(--ISNUMBER(SEARCH($A35,ActivityUX!$I$5:$I$65)),--(ActivityUX!$P$5:$P$65="Fall"))</f>
        <v>2</v>
      </c>
      <c r="H35" s="23" t="str">
        <f aca="false">IF(C35=0,"NOT COVERED",IF(G35=0,"Spring only",IF(AND(E35=0,F35&gt;0),"OK, trend measure",IF(E35=0,"Taught but never scored",IF(D35+F35=0,"Scored without practice","OK")))))</f>
        <v>OK</v>
      </c>
    </row>
    <row r="36" customFormat="false" ht="15" hidden="false" customHeight="false" outlineLevel="0" collapsed="false">
      <c r="A36" s="22" t="s">
        <v>519</v>
      </c>
      <c r="B36" s="23" t="s">
        <v>90</v>
      </c>
      <c r="C36" s="24" t="n">
        <f aca="false">SUMPRODUCT(--ISNUMBER(SEARCH($A36,ActivityUX!$I$5:$I$65)))</f>
        <v>1</v>
      </c>
      <c r="D36" s="24" t="n">
        <f aca="false">SUMPRODUCT(--ISNUMBER(SEARCH($A36,ActivityUX!$I$5:$I$65)),--((ActivityUX!$E$5:$E$65="Practice")+(ActivityUX!$E$5:$E$65="Present")&gt;0))</f>
        <v>0</v>
      </c>
      <c r="E36" s="24" t="n">
        <f aca="false">SUMPRODUCT(--ISNUMBER(SEARCH($A36,ActivityUX!$I$5:$I$65)),--(ActivityUX!$E$5:$E$65="Assess"))</f>
        <v>1</v>
      </c>
      <c r="F36" s="24" t="n">
        <f aca="false">SUMPRODUCT(--ISNUMBER(SEARCH($A36,ActivityUX!$I$5:$I$65)),--(ActivityUX!$E$5:$E$65="Reflect"))</f>
        <v>0</v>
      </c>
      <c r="G36" s="24" t="n">
        <f aca="false">SUMPRODUCT(--ISNUMBER(SEARCH($A36,ActivityUX!$I$5:$I$65)),--(ActivityUX!$P$5:$P$65="Fall"))</f>
        <v>0</v>
      </c>
      <c r="H36" s="23" t="str">
        <f aca="false">IF(C36=0,"NOT COVERED",IF(G36=0,"Spring only",IF(AND(E36=0,F36&gt;0),"OK, trend measure",IF(E36=0,"Taught but never scored",IF(D36+F36=0,"Scored without practice","OK")))))</f>
        <v>Spring only</v>
      </c>
    </row>
    <row r="37" customFormat="false" ht="15" hidden="false" customHeight="false" outlineLevel="0" collapsed="false">
      <c r="A37" s="22" t="s">
        <v>599</v>
      </c>
      <c r="B37" s="23" t="s">
        <v>90</v>
      </c>
      <c r="C37" s="24" t="n">
        <f aca="false">SUMPRODUCT(--ISNUMBER(SEARCH($A37,ActivityUX!$I$5:$I$65)))</f>
        <v>2</v>
      </c>
      <c r="D37" s="24" t="n">
        <f aca="false">SUMPRODUCT(--ISNUMBER(SEARCH($A37,ActivityUX!$I$5:$I$65)),--((ActivityUX!$E$5:$E$65="Practice")+(ActivityUX!$E$5:$E$65="Present")&gt;0))</f>
        <v>1</v>
      </c>
      <c r="E37" s="24" t="n">
        <f aca="false">SUMPRODUCT(--ISNUMBER(SEARCH($A37,ActivityUX!$I$5:$I$65)),--(ActivityUX!$E$5:$E$65="Assess"))</f>
        <v>1</v>
      </c>
      <c r="F37" s="24" t="n">
        <f aca="false">SUMPRODUCT(--ISNUMBER(SEARCH($A37,ActivityUX!$I$5:$I$65)),--(ActivityUX!$E$5:$E$65="Reflect"))</f>
        <v>0</v>
      </c>
      <c r="G37" s="24" t="n">
        <f aca="false">SUMPRODUCT(--ISNUMBER(SEARCH($A37,ActivityUX!$I$5:$I$65)),--(ActivityUX!$P$5:$P$65="Fall"))</f>
        <v>2</v>
      </c>
      <c r="H37" s="23" t="str">
        <f aca="false">IF(C37=0,"NOT COVERED",IF(G37=0,"Spring only",IF(AND(E37=0,F37&gt;0),"OK, trend measure",IF(E37=0,"Taught but never scored",IF(D37+F37=0,"Scored without practice","OK")))))</f>
        <v>OK</v>
      </c>
    </row>
    <row r="38" customFormat="false" ht="15" hidden="false" customHeight="false" outlineLevel="0" collapsed="false">
      <c r="A38" s="22" t="s">
        <v>537</v>
      </c>
      <c r="B38" s="23" t="s">
        <v>90</v>
      </c>
      <c r="C38" s="24" t="n">
        <f aca="false">SUMPRODUCT(--ISNUMBER(SEARCH($A38,ActivityUX!$I$5:$I$65)))</f>
        <v>2</v>
      </c>
      <c r="D38" s="24" t="n">
        <f aca="false">SUMPRODUCT(--ISNUMBER(SEARCH($A38,ActivityUX!$I$5:$I$65)),--((ActivityUX!$E$5:$E$65="Practice")+(ActivityUX!$E$5:$E$65="Present")&gt;0))</f>
        <v>1</v>
      </c>
      <c r="E38" s="24" t="n">
        <f aca="false">SUMPRODUCT(--ISNUMBER(SEARCH($A38,ActivityUX!$I$5:$I$65)),--(ActivityUX!$E$5:$E$65="Assess"))</f>
        <v>1</v>
      </c>
      <c r="F38" s="24" t="n">
        <f aca="false">SUMPRODUCT(--ISNUMBER(SEARCH($A38,ActivityUX!$I$5:$I$65)),--(ActivityUX!$E$5:$E$65="Reflect"))</f>
        <v>0</v>
      </c>
      <c r="G38" s="24" t="n">
        <f aca="false">SUMPRODUCT(--ISNUMBER(SEARCH($A38,ActivityUX!$I$5:$I$65)),--(ActivityUX!$P$5:$P$65="Fall"))</f>
        <v>2</v>
      </c>
      <c r="H38" s="23" t="str">
        <f aca="false">IF(C38=0,"NOT COVERED",IF(G38=0,"Spring only",IF(AND(E38=0,F38&gt;0),"OK, trend measure",IF(E38=0,"Taught but never scored",IF(D38+F38=0,"Scored without practice","OK")))))</f>
        <v>OK</v>
      </c>
    </row>
    <row r="39" customFormat="false" ht="15" hidden="false" customHeight="false" outlineLevel="0" collapsed="false">
      <c r="A39" s="22" t="s">
        <v>544</v>
      </c>
      <c r="B39" s="23" t="s">
        <v>90</v>
      </c>
      <c r="C39" s="24" t="n">
        <f aca="false">SUMPRODUCT(--ISNUMBER(SEARCH($A39,ActivityUX!$I$5:$I$65)))</f>
        <v>2</v>
      </c>
      <c r="D39" s="24" t="n">
        <f aca="false">SUMPRODUCT(--ISNUMBER(SEARCH($A39,ActivityUX!$I$5:$I$65)),--((ActivityUX!$E$5:$E$65="Practice")+(ActivityUX!$E$5:$E$65="Present")&gt;0))</f>
        <v>1</v>
      </c>
      <c r="E39" s="24" t="n">
        <f aca="false">SUMPRODUCT(--ISNUMBER(SEARCH($A39,ActivityUX!$I$5:$I$65)),--(ActivityUX!$E$5:$E$65="Assess"))</f>
        <v>1</v>
      </c>
      <c r="F39" s="24" t="n">
        <f aca="false">SUMPRODUCT(--ISNUMBER(SEARCH($A39,ActivityUX!$I$5:$I$65)),--(ActivityUX!$E$5:$E$65="Reflect"))</f>
        <v>0</v>
      </c>
      <c r="G39" s="24" t="n">
        <f aca="false">SUMPRODUCT(--ISNUMBER(SEARCH($A39,ActivityUX!$I$5:$I$65)),--(ActivityUX!$P$5:$P$65="Fall"))</f>
        <v>2</v>
      </c>
      <c r="H39" s="23" t="str">
        <f aca="false">IF(C39=0,"NOT COVERED",IF(G39=0,"Spring only",IF(AND(E39=0,F39&gt;0),"OK, trend measure",IF(E39=0,"Taught but never scored",IF(D39+F39=0,"Scored without practice","OK")))))</f>
        <v>OK</v>
      </c>
    </row>
    <row r="40" customFormat="false" ht="15" hidden="false" customHeight="false" outlineLevel="0" collapsed="false">
      <c r="A40" s="22" t="s">
        <v>600</v>
      </c>
      <c r="B40" s="23" t="s">
        <v>98</v>
      </c>
      <c r="C40" s="24" t="n">
        <f aca="false">SUMPRODUCT(--ISNUMBER(SEARCH($A40,ActivityUX!$I$5:$I$65)))</f>
        <v>1</v>
      </c>
      <c r="D40" s="24" t="n">
        <f aca="false">SUMPRODUCT(--ISNUMBER(SEARCH($A40,ActivityUX!$I$5:$I$65)),--((ActivityUX!$E$5:$E$65="Practice")+(ActivityUX!$E$5:$E$65="Present")&gt;0))</f>
        <v>0</v>
      </c>
      <c r="E40" s="24" t="n">
        <f aca="false">SUMPRODUCT(--ISNUMBER(SEARCH($A40,ActivityUX!$I$5:$I$65)),--(ActivityUX!$E$5:$E$65="Assess"))</f>
        <v>0</v>
      </c>
      <c r="F40" s="24" t="n">
        <f aca="false">SUMPRODUCT(--ISNUMBER(SEARCH($A40,ActivityUX!$I$5:$I$65)),--(ActivityUX!$E$5:$E$65="Reflect"))</f>
        <v>1</v>
      </c>
      <c r="G40" s="24" t="n">
        <f aca="false">SUMPRODUCT(--ISNUMBER(SEARCH($A40,ActivityUX!$I$5:$I$65)),--(ActivityUX!$P$5:$P$65="Fall"))</f>
        <v>1</v>
      </c>
      <c r="H40" s="23" t="str">
        <f aca="false">IF(C40=0,"NOT COVERED",IF(G40=0,"Spring only",IF(AND(E40=0,F40&gt;0),"OK, trend measure",IF(E40=0,"Taught but never scored",IF(D40+F40=0,"Scored without practice","OK")))))</f>
        <v>OK, trend measure</v>
      </c>
    </row>
    <row r="41" customFormat="false" ht="15" hidden="false" customHeight="false" outlineLevel="0" collapsed="false">
      <c r="A41" s="22" t="s">
        <v>601</v>
      </c>
      <c r="B41" s="23" t="s">
        <v>98</v>
      </c>
      <c r="C41" s="24" t="n">
        <f aca="false">SUMPRODUCT(--ISNUMBER(SEARCH($A41,ActivityUX!$I$5:$I$65)))</f>
        <v>2</v>
      </c>
      <c r="D41" s="24" t="n">
        <f aca="false">SUMPRODUCT(--ISNUMBER(SEARCH($A41,ActivityUX!$I$5:$I$65)),--((ActivityUX!$E$5:$E$65="Practice")+(ActivityUX!$E$5:$E$65="Present")&gt;0))</f>
        <v>0</v>
      </c>
      <c r="E41" s="24" t="n">
        <f aca="false">SUMPRODUCT(--ISNUMBER(SEARCH($A41,ActivityUX!$I$5:$I$65)),--(ActivityUX!$E$5:$E$65="Assess"))</f>
        <v>1</v>
      </c>
      <c r="F41" s="24" t="n">
        <f aca="false">SUMPRODUCT(--ISNUMBER(SEARCH($A41,ActivityUX!$I$5:$I$65)),--(ActivityUX!$E$5:$E$65="Reflect"))</f>
        <v>1</v>
      </c>
      <c r="G41" s="24" t="n">
        <f aca="false">SUMPRODUCT(--ISNUMBER(SEARCH($A41,ActivityUX!$I$5:$I$65)),--(ActivityUX!$P$5:$P$65="Fall"))</f>
        <v>2</v>
      </c>
      <c r="H41" s="23" t="str">
        <f aca="false">IF(C41=0,"NOT COVERED",IF(G41=0,"Spring only",IF(AND(E41=0,F41&gt;0),"OK, trend measure",IF(E41=0,"Taught but never scored",IF(D41+F41=0,"Scored without practice","OK")))))</f>
        <v>OK</v>
      </c>
    </row>
    <row r="42" customFormat="false" ht="15" hidden="false" customHeight="false" outlineLevel="0" collapsed="false">
      <c r="A42" s="22" t="s">
        <v>571</v>
      </c>
      <c r="B42" s="23" t="s">
        <v>98</v>
      </c>
      <c r="C42" s="24" t="n">
        <f aca="false">SUMPRODUCT(--ISNUMBER(SEARCH($A42,ActivityUX!$I$5:$I$65)))</f>
        <v>1</v>
      </c>
      <c r="D42" s="24" t="n">
        <f aca="false">SUMPRODUCT(--ISNUMBER(SEARCH($A42,ActivityUX!$I$5:$I$65)),--((ActivityUX!$E$5:$E$65="Practice")+(ActivityUX!$E$5:$E$65="Present")&gt;0))</f>
        <v>0</v>
      </c>
      <c r="E42" s="24" t="n">
        <f aca="false">SUMPRODUCT(--ISNUMBER(SEARCH($A42,ActivityUX!$I$5:$I$65)),--(ActivityUX!$E$5:$E$65="Assess"))</f>
        <v>0</v>
      </c>
      <c r="F42" s="24" t="n">
        <f aca="false">SUMPRODUCT(--ISNUMBER(SEARCH($A42,ActivityUX!$I$5:$I$65)),--(ActivityUX!$E$5:$E$65="Reflect"))</f>
        <v>1</v>
      </c>
      <c r="G42" s="24" t="n">
        <f aca="false">SUMPRODUCT(--ISNUMBER(SEARCH($A42,ActivityUX!$I$5:$I$65)),--(ActivityUX!$P$5:$P$65="Fall"))</f>
        <v>1</v>
      </c>
      <c r="H42" s="23" t="str">
        <f aca="false">IF(C42=0,"NOT COVERED",IF(G42=0,"Spring only",IF(AND(E42=0,F42&gt;0),"OK, trend measure",IF(E42=0,"Taught but never scored",IF(D42+F42=0,"Scored without practice","OK")))))</f>
        <v>OK, trend measure</v>
      </c>
    </row>
    <row r="43" customFormat="false" ht="15" hidden="false" customHeight="false" outlineLevel="0" collapsed="false">
      <c r="A43" s="22" t="s">
        <v>564</v>
      </c>
      <c r="B43" s="23" t="s">
        <v>98</v>
      </c>
      <c r="C43" s="24" t="n">
        <f aca="false">SUMPRODUCT(--ISNUMBER(SEARCH($A43,ActivityUX!$I$5:$I$65)))</f>
        <v>2</v>
      </c>
      <c r="D43" s="24" t="n">
        <f aca="false">SUMPRODUCT(--ISNUMBER(SEARCH($A43,ActivityUX!$I$5:$I$65)),--((ActivityUX!$E$5:$E$65="Practice")+(ActivityUX!$E$5:$E$65="Present")&gt;0))</f>
        <v>0</v>
      </c>
      <c r="E43" s="24" t="n">
        <f aca="false">SUMPRODUCT(--ISNUMBER(SEARCH($A43,ActivityUX!$I$5:$I$65)),--(ActivityUX!$E$5:$E$65="Assess"))</f>
        <v>1</v>
      </c>
      <c r="F43" s="24" t="n">
        <f aca="false">SUMPRODUCT(--ISNUMBER(SEARCH($A43,ActivityUX!$I$5:$I$65)),--(ActivityUX!$E$5:$E$65="Reflect"))</f>
        <v>1</v>
      </c>
      <c r="G43" s="24" t="n">
        <f aca="false">SUMPRODUCT(--ISNUMBER(SEARCH($A43,ActivityUX!$I$5:$I$65)),--(ActivityUX!$P$5:$P$65="Fall"))</f>
        <v>2</v>
      </c>
      <c r="H43" s="23" t="str">
        <f aca="false">IF(C43=0,"NOT COVERED",IF(G43=0,"Spring only",IF(AND(E43=0,F43&gt;0),"OK, trend measure",IF(E43=0,"Taught but never scored",IF(D43+F43=0,"Scored without practice","OK")))))</f>
        <v>OK</v>
      </c>
    </row>
    <row r="45" customFormat="false" ht="15" hidden="false" customHeight="false" outlineLevel="0" collapsed="false">
      <c r="A45" s="13" t="s">
        <v>602</v>
      </c>
      <c r="C45" s="25" t="n">
        <f aca="false">COUNTIF(H5:H43,"NOT COVERED")</f>
        <v>0</v>
      </c>
    </row>
    <row r="46" customFormat="false" ht="15" hidden="false" customHeight="false" outlineLevel="0" collapsed="false">
      <c r="A46" s="13" t="s">
        <v>603</v>
      </c>
      <c r="C46" s="25" t="n">
        <f aca="false">COUNTIF(H5:H43,"Taught but never scored")</f>
        <v>0</v>
      </c>
    </row>
    <row r="47" customFormat="false" ht="15" hidden="false" customHeight="false" outlineLevel="0" collapsed="false">
      <c r="A47" s="13" t="s">
        <v>604</v>
      </c>
      <c r="C47" s="25" t="n">
        <f aca="false">COUNTIF(H5:H43,"Scored without practice")</f>
        <v>0</v>
      </c>
    </row>
    <row r="48" customFormat="false" ht="15" hidden="false" customHeight="false" outlineLevel="0" collapsed="false">
      <c r="A48" s="13" t="s">
        <v>605</v>
      </c>
      <c r="C48" s="25" t="n">
        <f aca="false">COUNTIF(H5:H43,"Spring only")</f>
        <v>5</v>
      </c>
    </row>
    <row r="49" customFormat="false" ht="15" hidden="false" customHeight="false" outlineLevel="0" collapsed="false">
      <c r="A49" s="13" t="s">
        <v>606</v>
      </c>
      <c r="C49" s="25" t="n">
        <f aca="false">COUNTIF(H5:H43,"OK")+COUNTIF(H5:H43,"OK, trend measure")</f>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6"/>
    <col collapsed="false" customWidth="true" hidden="false" outlineLevel="0" max="4" min="4" style="0" width="22"/>
    <col collapsed="false" customWidth="true" hidden="false" outlineLevel="0" max="5" min="5" style="0" width="16"/>
    <col collapsed="false" customWidth="true" hidden="false" outlineLevel="0" max="6" min="6" style="0" width="44"/>
  </cols>
  <sheetData>
    <row r="1" customFormat="false" ht="18.55" hidden="false" customHeight="false" outlineLevel="0" collapsed="false">
      <c r="A1" s="1" t="s">
        <v>607</v>
      </c>
    </row>
    <row r="2" customFormat="false" ht="15" hidden="false" customHeight="false" outlineLevel="0" collapsed="false">
      <c r="A2" s="4" t="s">
        <v>608</v>
      </c>
    </row>
    <row r="4" customFormat="false" ht="31.5" hidden="false" customHeight="true" outlineLevel="0" collapsed="false">
      <c r="A4" s="5" t="s">
        <v>609</v>
      </c>
      <c r="B4" s="5" t="s">
        <v>610</v>
      </c>
      <c r="C4" s="5" t="s">
        <v>611</v>
      </c>
      <c r="D4" s="5" t="s">
        <v>612</v>
      </c>
      <c r="E4" s="5" t="s">
        <v>613</v>
      </c>
      <c r="F4" s="5" t="s">
        <v>614</v>
      </c>
    </row>
    <row r="5" customFormat="false" ht="39.75" hidden="false" customHeight="true" outlineLevel="0" collapsed="false">
      <c r="A5" s="14" t="s">
        <v>615</v>
      </c>
      <c r="B5" s="17" t="s">
        <v>616</v>
      </c>
      <c r="C5" s="17" t="s">
        <v>617</v>
      </c>
      <c r="D5" s="17" t="s">
        <v>618</v>
      </c>
      <c r="E5" s="26" t="s">
        <v>71</v>
      </c>
      <c r="F5" s="17" t="s">
        <v>619</v>
      </c>
    </row>
    <row r="6" customFormat="false" ht="39.75" hidden="false" customHeight="true" outlineLevel="0" collapsed="false">
      <c r="A6" s="14" t="s">
        <v>620</v>
      </c>
      <c r="B6" s="17" t="s">
        <v>621</v>
      </c>
      <c r="C6" s="17" t="s">
        <v>290</v>
      </c>
      <c r="D6" s="17" t="s">
        <v>622</v>
      </c>
      <c r="E6" s="26" t="s">
        <v>71</v>
      </c>
      <c r="F6" s="17" t="s">
        <v>623</v>
      </c>
    </row>
    <row r="7" customFormat="false" ht="39.75" hidden="false" customHeight="true" outlineLevel="0" collapsed="false">
      <c r="A7" s="14" t="s">
        <v>624</v>
      </c>
      <c r="B7" s="17" t="s">
        <v>625</v>
      </c>
      <c r="C7" s="17" t="s">
        <v>626</v>
      </c>
      <c r="D7" s="17" t="s">
        <v>627</v>
      </c>
      <c r="E7" s="27" t="s">
        <v>53</v>
      </c>
      <c r="F7" s="17" t="s">
        <v>628</v>
      </c>
    </row>
    <row r="8" customFormat="false" ht="39.75" hidden="false" customHeight="true" outlineLevel="0" collapsed="false">
      <c r="A8" s="14" t="s">
        <v>629</v>
      </c>
      <c r="B8" s="17" t="s">
        <v>630</v>
      </c>
      <c r="C8" s="17" t="s">
        <v>626</v>
      </c>
      <c r="D8" s="17" t="s">
        <v>631</v>
      </c>
      <c r="E8" s="27" t="s">
        <v>53</v>
      </c>
      <c r="F8" s="17" t="s">
        <v>632</v>
      </c>
    </row>
    <row r="9" customFormat="false" ht="39.75" hidden="false" customHeight="true" outlineLevel="0" collapsed="false">
      <c r="A9" s="14" t="s">
        <v>633</v>
      </c>
      <c r="B9" s="17" t="s">
        <v>634</v>
      </c>
      <c r="C9" s="17" t="s">
        <v>626</v>
      </c>
      <c r="D9" s="17" t="s">
        <v>635</v>
      </c>
      <c r="E9" s="27" t="s">
        <v>53</v>
      </c>
      <c r="F9" s="17" t="s">
        <v>636</v>
      </c>
    </row>
    <row r="10" customFormat="false" ht="39.75" hidden="false" customHeight="true" outlineLevel="0" collapsed="false">
      <c r="A10" s="14" t="s">
        <v>637</v>
      </c>
      <c r="B10" s="17" t="s">
        <v>638</v>
      </c>
      <c r="C10" s="17" t="s">
        <v>639</v>
      </c>
      <c r="D10" s="17" t="s">
        <v>640</v>
      </c>
      <c r="E10" s="20" t="s">
        <v>39</v>
      </c>
      <c r="F10" s="17" t="s">
        <v>641</v>
      </c>
    </row>
    <row r="13" customFormat="false" ht="15" hidden="false" customHeight="false" outlineLevel="0" collapsed="false">
      <c r="A13" s="28" t="s">
        <v>642</v>
      </c>
    </row>
    <row r="14" customFormat="false" ht="15" hidden="false" customHeight="false" outlineLevel="0" collapsed="false">
      <c r="A14" s="3" t="s">
        <v>643</v>
      </c>
    </row>
    <row r="15" customFormat="false" ht="15" hidden="false" customHeight="false" outlineLevel="0" collapsed="false">
      <c r="A15" s="3" t="s">
        <v>644</v>
      </c>
    </row>
    <row r="16" customFormat="false" ht="15" hidden="false" customHeight="false" outlineLevel="0" collapsed="false">
      <c r="A16" s="3" t="s">
        <v>645</v>
      </c>
    </row>
    <row r="17" customFormat="false" ht="15" hidden="false" customHeight="false" outlineLevel="0" collapsed="false">
      <c r="A17" s="3" t="s">
        <v>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9"/>
    <col collapsed="false" customWidth="true" hidden="false" outlineLevel="0" max="4" min="4" style="0" width="20"/>
    <col collapsed="false" customWidth="true" hidden="false" outlineLevel="0" max="5" min="5" style="0" width="24"/>
    <col collapsed="false" customWidth="true" hidden="false" outlineLevel="0" max="7" min="6" style="0" width="16"/>
    <col collapsed="false" customWidth="true" hidden="false" outlineLevel="0" max="9" min="8" style="0" width="14"/>
    <col collapsed="false" customWidth="true" hidden="false" outlineLevel="0" max="10" min="10" style="0" width="11"/>
  </cols>
  <sheetData>
    <row r="1" customFormat="false" ht="18.55" hidden="false" customHeight="false" outlineLevel="0" collapsed="false">
      <c r="A1" s="1" t="s">
        <v>647</v>
      </c>
    </row>
    <row r="2" customFormat="false" ht="15" hidden="false" customHeight="false" outlineLevel="0" collapsed="false">
      <c r="A2" s="4" t="s">
        <v>648</v>
      </c>
    </row>
    <row r="4" customFormat="false" ht="33.75" hidden="false" customHeight="true" outlineLevel="0" collapsed="false">
      <c r="A4" s="5" t="s">
        <v>649</v>
      </c>
      <c r="B4" s="5" t="s">
        <v>650</v>
      </c>
      <c r="C4" s="5" t="s">
        <v>651</v>
      </c>
      <c r="D4" s="5" t="s">
        <v>652</v>
      </c>
      <c r="E4" s="5" t="s">
        <v>653</v>
      </c>
      <c r="F4" s="5" t="s">
        <v>654</v>
      </c>
      <c r="G4" s="5" t="s">
        <v>588</v>
      </c>
      <c r="H4" s="5" t="s">
        <v>655</v>
      </c>
      <c r="I4" s="5" t="s">
        <v>656</v>
      </c>
      <c r="J4" s="5" t="s">
        <v>657</v>
      </c>
    </row>
    <row r="5" customFormat="false" ht="30" hidden="false" customHeight="true" outlineLevel="0" collapsed="false">
      <c r="A5" s="14" t="s">
        <v>658</v>
      </c>
      <c r="B5" s="17" t="s">
        <v>659</v>
      </c>
      <c r="C5" s="15" t="s">
        <v>660</v>
      </c>
      <c r="D5" s="17" t="s">
        <v>418</v>
      </c>
      <c r="E5" s="17"/>
      <c r="F5" s="17" t="s">
        <v>661</v>
      </c>
      <c r="G5" s="29" t="s">
        <v>657</v>
      </c>
      <c r="H5" s="15" t="s">
        <v>662</v>
      </c>
      <c r="I5" s="15" t="s">
        <v>663</v>
      </c>
      <c r="J5" s="21" t="s">
        <v>664</v>
      </c>
    </row>
    <row r="6" customFormat="false" ht="30" hidden="false" customHeight="true" outlineLevel="0" collapsed="false">
      <c r="A6" s="14" t="s">
        <v>665</v>
      </c>
      <c r="B6" s="17" t="s">
        <v>666</v>
      </c>
      <c r="C6" s="15" t="s">
        <v>660</v>
      </c>
      <c r="D6" s="17" t="s">
        <v>667</v>
      </c>
      <c r="E6" s="17"/>
      <c r="F6" s="17" t="s">
        <v>661</v>
      </c>
      <c r="G6" s="29" t="s">
        <v>657</v>
      </c>
      <c r="H6" s="15" t="s">
        <v>662</v>
      </c>
      <c r="I6" s="15" t="s">
        <v>663</v>
      </c>
      <c r="J6" s="21" t="s">
        <v>664</v>
      </c>
    </row>
    <row r="7" customFormat="false" ht="30" hidden="false" customHeight="true" outlineLevel="0" collapsed="false">
      <c r="A7" s="14" t="s">
        <v>668</v>
      </c>
      <c r="B7" s="17" t="s">
        <v>669</v>
      </c>
      <c r="C7" s="15" t="s">
        <v>660</v>
      </c>
      <c r="D7" s="17" t="s">
        <v>418</v>
      </c>
      <c r="E7" s="17"/>
      <c r="F7" s="17" t="s">
        <v>661</v>
      </c>
      <c r="G7" s="29" t="s">
        <v>657</v>
      </c>
      <c r="H7" s="15" t="s">
        <v>662</v>
      </c>
      <c r="I7" s="15" t="s">
        <v>663</v>
      </c>
      <c r="J7" s="21" t="s">
        <v>664</v>
      </c>
    </row>
    <row r="8" customFormat="false" ht="30" hidden="false" customHeight="true" outlineLevel="0" collapsed="false">
      <c r="A8" s="14" t="s">
        <v>670</v>
      </c>
      <c r="B8" s="17" t="s">
        <v>671</v>
      </c>
      <c r="C8" s="15" t="s">
        <v>660</v>
      </c>
      <c r="D8" s="17" t="s">
        <v>418</v>
      </c>
      <c r="E8" s="17"/>
      <c r="F8" s="17" t="s">
        <v>661</v>
      </c>
      <c r="G8" s="29" t="s">
        <v>657</v>
      </c>
      <c r="H8" s="15" t="s">
        <v>662</v>
      </c>
      <c r="I8" s="15" t="s">
        <v>663</v>
      </c>
      <c r="J8" s="21" t="s">
        <v>664</v>
      </c>
    </row>
    <row r="9" customFormat="false" ht="30" hidden="false" customHeight="true" outlineLevel="0" collapsed="false">
      <c r="A9" s="14" t="s">
        <v>672</v>
      </c>
      <c r="B9" s="17" t="s">
        <v>673</v>
      </c>
      <c r="C9" s="15" t="s">
        <v>660</v>
      </c>
      <c r="D9" s="17" t="s">
        <v>418</v>
      </c>
      <c r="E9" s="17"/>
      <c r="F9" s="17" t="s">
        <v>661</v>
      </c>
      <c r="G9" s="29" t="s">
        <v>657</v>
      </c>
      <c r="H9" s="15" t="s">
        <v>662</v>
      </c>
      <c r="I9" s="15" t="s">
        <v>663</v>
      </c>
      <c r="J9" s="21" t="s">
        <v>664</v>
      </c>
    </row>
    <row r="10" customFormat="false" ht="30" hidden="false" customHeight="true" outlineLevel="0" collapsed="false">
      <c r="A10" s="14" t="s">
        <v>674</v>
      </c>
      <c r="B10" s="17" t="s">
        <v>675</v>
      </c>
      <c r="C10" s="15" t="s">
        <v>660</v>
      </c>
      <c r="D10" s="17" t="s">
        <v>418</v>
      </c>
      <c r="E10" s="17"/>
      <c r="F10" s="17" t="s">
        <v>661</v>
      </c>
      <c r="G10" s="29" t="s">
        <v>657</v>
      </c>
      <c r="H10" s="15" t="s">
        <v>662</v>
      </c>
      <c r="I10" s="15" t="s">
        <v>663</v>
      </c>
      <c r="J10" s="21" t="s">
        <v>664</v>
      </c>
    </row>
    <row r="11" customFormat="false" ht="30" hidden="false" customHeight="true" outlineLevel="0" collapsed="false">
      <c r="A11" s="14" t="s">
        <v>676</v>
      </c>
      <c r="B11" s="17" t="s">
        <v>677</v>
      </c>
      <c r="C11" s="15" t="s">
        <v>660</v>
      </c>
      <c r="D11" s="17" t="s">
        <v>418</v>
      </c>
      <c r="E11" s="17"/>
      <c r="F11" s="17" t="s">
        <v>661</v>
      </c>
      <c r="G11" s="29" t="s">
        <v>657</v>
      </c>
      <c r="H11" s="15" t="s">
        <v>662</v>
      </c>
      <c r="I11" s="15" t="s">
        <v>663</v>
      </c>
      <c r="J11" s="21" t="s">
        <v>664</v>
      </c>
    </row>
    <row r="12" customFormat="false" ht="30" hidden="false" customHeight="true" outlineLevel="0" collapsed="false">
      <c r="A12" s="14" t="s">
        <v>678</v>
      </c>
      <c r="B12" s="17" t="s">
        <v>679</v>
      </c>
      <c r="C12" s="15" t="s">
        <v>660</v>
      </c>
      <c r="D12" s="17" t="s">
        <v>418</v>
      </c>
      <c r="E12" s="17"/>
      <c r="F12" s="17" t="s">
        <v>661</v>
      </c>
      <c r="G12" s="29" t="s">
        <v>657</v>
      </c>
      <c r="H12" s="15" t="s">
        <v>662</v>
      </c>
      <c r="I12" s="15" t="s">
        <v>663</v>
      </c>
      <c r="J12" s="21" t="s">
        <v>664</v>
      </c>
    </row>
    <row r="13" customFormat="false" ht="30" hidden="false" customHeight="true" outlineLevel="0" collapsed="false">
      <c r="A13" s="14" t="s">
        <v>680</v>
      </c>
      <c r="B13" s="17" t="s">
        <v>681</v>
      </c>
      <c r="C13" s="15" t="s">
        <v>660</v>
      </c>
      <c r="D13" s="17" t="s">
        <v>418</v>
      </c>
      <c r="E13" s="17"/>
      <c r="F13" s="17" t="s">
        <v>661</v>
      </c>
      <c r="G13" s="29" t="s">
        <v>657</v>
      </c>
      <c r="H13" s="15" t="s">
        <v>662</v>
      </c>
      <c r="I13" s="15" t="s">
        <v>663</v>
      </c>
      <c r="J13" s="21" t="s">
        <v>664</v>
      </c>
    </row>
    <row r="14" customFormat="false" ht="30" hidden="false" customHeight="true" outlineLevel="0" collapsed="false">
      <c r="A14" s="14" t="s">
        <v>682</v>
      </c>
      <c r="B14" s="17" t="s">
        <v>683</v>
      </c>
      <c r="C14" s="15" t="s">
        <v>660</v>
      </c>
      <c r="D14" s="17" t="s">
        <v>418</v>
      </c>
      <c r="E14" s="17"/>
      <c r="F14" s="17" t="s">
        <v>661</v>
      </c>
      <c r="G14" s="29" t="s">
        <v>657</v>
      </c>
      <c r="H14" s="15" t="s">
        <v>662</v>
      </c>
      <c r="I14" s="15" t="s">
        <v>663</v>
      </c>
      <c r="J14" s="21" t="s">
        <v>664</v>
      </c>
    </row>
    <row r="15" customFormat="false" ht="30" hidden="false" customHeight="true" outlineLevel="0" collapsed="false">
      <c r="A15" s="14" t="s">
        <v>684</v>
      </c>
      <c r="B15" s="17" t="s">
        <v>685</v>
      </c>
      <c r="C15" s="15" t="s">
        <v>686</v>
      </c>
      <c r="D15" s="17" t="s">
        <v>687</v>
      </c>
      <c r="E15" s="17" t="s">
        <v>688</v>
      </c>
      <c r="F15" s="17" t="s">
        <v>689</v>
      </c>
      <c r="G15" s="30" t="s">
        <v>690</v>
      </c>
      <c r="H15" s="15"/>
      <c r="I15" s="15"/>
      <c r="J15" s="31" t="s">
        <v>691</v>
      </c>
    </row>
    <row r="16" customFormat="false" ht="30" hidden="false" customHeight="true" outlineLevel="0" collapsed="false">
      <c r="A16" s="14" t="s">
        <v>692</v>
      </c>
      <c r="B16" s="17" t="s">
        <v>461</v>
      </c>
      <c r="C16" s="15" t="s">
        <v>693</v>
      </c>
      <c r="D16" s="17" t="s">
        <v>462</v>
      </c>
      <c r="E16" s="17" t="s">
        <v>694</v>
      </c>
      <c r="F16" s="17" t="s">
        <v>695</v>
      </c>
      <c r="G16" s="30" t="s">
        <v>690</v>
      </c>
      <c r="H16" s="15"/>
      <c r="I16" s="15"/>
      <c r="J16" s="31" t="s">
        <v>691</v>
      </c>
    </row>
    <row r="17" customFormat="false" ht="30" hidden="false" customHeight="true" outlineLevel="0" collapsed="false">
      <c r="A17" s="14" t="s">
        <v>696</v>
      </c>
      <c r="B17" s="17" t="s">
        <v>697</v>
      </c>
      <c r="C17" s="15" t="s">
        <v>698</v>
      </c>
      <c r="D17" s="17" t="s">
        <v>519</v>
      </c>
      <c r="E17" s="17" t="s">
        <v>517</v>
      </c>
      <c r="F17" s="17" t="s">
        <v>699</v>
      </c>
      <c r="G17" s="30" t="s">
        <v>690</v>
      </c>
      <c r="H17" s="15"/>
      <c r="I17" s="15"/>
      <c r="J17" s="31" t="s">
        <v>691</v>
      </c>
    </row>
    <row r="18" customFormat="false" ht="30" hidden="false" customHeight="true" outlineLevel="0" collapsed="false">
      <c r="A18" s="14" t="s">
        <v>700</v>
      </c>
      <c r="B18" s="17" t="s">
        <v>701</v>
      </c>
      <c r="C18" s="15" t="s">
        <v>702</v>
      </c>
      <c r="D18" s="17" t="s">
        <v>469</v>
      </c>
      <c r="E18" s="17" t="s">
        <v>703</v>
      </c>
      <c r="F18" s="17" t="s">
        <v>704</v>
      </c>
      <c r="G18" s="30" t="s">
        <v>690</v>
      </c>
      <c r="H18" s="15"/>
      <c r="I18" s="15"/>
      <c r="J18" s="31" t="s">
        <v>691</v>
      </c>
    </row>
    <row r="19" customFormat="false" ht="30" hidden="false" customHeight="true" outlineLevel="0" collapsed="false">
      <c r="A19" s="14" t="s">
        <v>705</v>
      </c>
      <c r="B19" s="17" t="s">
        <v>706</v>
      </c>
      <c r="C19" s="15" t="s">
        <v>707</v>
      </c>
      <c r="D19" s="17" t="s">
        <v>708</v>
      </c>
      <c r="E19" s="17"/>
      <c r="F19" s="17" t="s">
        <v>709</v>
      </c>
      <c r="G19" s="30" t="s">
        <v>690</v>
      </c>
      <c r="H19" s="15"/>
      <c r="I19" s="15"/>
      <c r="J19" s="31" t="s">
        <v>691</v>
      </c>
    </row>
    <row r="20" customFormat="false" ht="30" hidden="false" customHeight="true" outlineLevel="0" collapsed="false">
      <c r="A20" s="14" t="s">
        <v>710</v>
      </c>
      <c r="B20" s="17" t="s">
        <v>711</v>
      </c>
      <c r="C20" s="15" t="s">
        <v>712</v>
      </c>
      <c r="D20" s="17" t="s">
        <v>713</v>
      </c>
      <c r="E20" s="17"/>
      <c r="F20" s="17" t="s">
        <v>709</v>
      </c>
      <c r="G20" s="30" t="s">
        <v>690</v>
      </c>
      <c r="H20" s="15"/>
      <c r="I20" s="15"/>
      <c r="J20" s="31" t="s">
        <v>691</v>
      </c>
    </row>
    <row r="21" customFormat="false" ht="30" hidden="false" customHeight="true" outlineLevel="0" collapsed="false">
      <c r="A21" s="14" t="s">
        <v>714</v>
      </c>
      <c r="B21" s="17" t="s">
        <v>715</v>
      </c>
      <c r="C21" s="15" t="s">
        <v>716</v>
      </c>
      <c r="D21" s="17" t="s">
        <v>717</v>
      </c>
      <c r="E21" s="17"/>
      <c r="F21" s="17" t="s">
        <v>718</v>
      </c>
      <c r="G21" s="32" t="s">
        <v>719</v>
      </c>
      <c r="H21" s="15"/>
      <c r="I21" s="15"/>
      <c r="J21" s="31" t="s">
        <v>691</v>
      </c>
    </row>
    <row r="23" customFormat="false" ht="15" hidden="false" customHeight="false" outlineLevel="0" collapsed="false">
      <c r="B23" s="13" t="s">
        <v>720</v>
      </c>
      <c r="C23" s="13" t="n">
        <f aca="false">COUNTIF(J5:J21,"Y")</f>
        <v>10</v>
      </c>
    </row>
    <row r="24" customFormat="false" ht="15" hidden="false" customHeight="false" outlineLevel="0" collapsed="false">
      <c r="B24" s="13" t="s">
        <v>721</v>
      </c>
      <c r="C24" s="13" t="n">
        <f aca="false">COUNTIF(J5:J21,"N")-COUNTIF(G5:G21,"Deferred")</f>
        <v>6</v>
      </c>
    </row>
    <row r="25" customFormat="false" ht="15" hidden="false" customHeight="false" outlineLevel="0" collapsed="false">
      <c r="B25" s="13" t="s">
        <v>722</v>
      </c>
      <c r="C25" s="13" t="n">
        <f aca="false">SUMPRODUCT(--(J5:J21="N"),--(LEN(E5:E21)&gt;0),(LEN(E5:E21)-LEN(SUBSTITUTE(E5:E21,",",""))+1))</f>
        <v>8</v>
      </c>
      <c r="D25" s="4" t="s">
        <v>723</v>
      </c>
    </row>
    <row r="27" customFormat="false" ht="15" hidden="false" customHeight="false" outlineLevel="0" collapsed="false">
      <c r="A27" s="28" t="s">
        <v>724</v>
      </c>
    </row>
    <row r="28" customFormat="false" ht="15" hidden="false" customHeight="false" outlineLevel="0" collapsed="false">
      <c r="A28" s="3" t="s">
        <v>725</v>
      </c>
    </row>
    <row r="29" customFormat="false" ht="15" hidden="false" customHeight="false" outlineLevel="0" collapsed="false">
      <c r="A29" s="3" t="s">
        <v>726</v>
      </c>
    </row>
    <row r="30" customFormat="false" ht="15" hidden="false" customHeight="false" outlineLevel="0" collapsed="false">
      <c r="A30" s="3" t="s">
        <v>727</v>
      </c>
    </row>
    <row r="31" customFormat="false" ht="15" hidden="false" customHeight="false" outlineLevel="0" collapsed="false">
      <c r="A31" s="3" t="s">
        <v>728</v>
      </c>
    </row>
    <row r="32" customFormat="false" ht="15" hidden="false" customHeight="false" outlineLevel="0" collapsed="false">
      <c r="A32" s="3" t="s">
        <v>729</v>
      </c>
    </row>
    <row r="33" customFormat="false" ht="15" hidden="false" customHeight="false" outlineLevel="0" collapsed="false">
      <c r="A33" s="3" t="s">
        <v>730</v>
      </c>
    </row>
    <row r="34" customFormat="false" ht="15" hidden="false" customHeight="false" outlineLevel="0" collapsed="false">
      <c r="A34" s="3" t="s">
        <v>731</v>
      </c>
    </row>
    <row r="35" customFormat="false" ht="15" hidden="false" customHeight="false" outlineLevel="0" collapsed="false">
      <c r="A35" s="3" t="s">
        <v>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2026-08-10T03:20:15Z</dcterms:created>
  <dc:creator>openpyxl</dc:creator>
  <dc:description/>
  <dc:language>en-US</dc:language>
  <cp:lastModifiedBy/>
  <dcterms:modified xsi:type="dcterms:W3CDTF">2026-08-10T03:20:15Z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